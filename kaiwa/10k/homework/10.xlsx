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0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9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G29" i="2"/>
  <c r="Q29" s="1"/>
  <c r="U29" s="1"/>
  <c r="G33"/>
  <c r="Q33" s="1"/>
  <c r="U33" l="1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0" l="1"/>
  <c r="M29"/>
  <c r="M31"/>
  <c r="M27"/>
  <c r="U54" i="2"/>
  <c r="D10" i="3" s="1"/>
</calcChain>
</file>

<file path=xl/sharedStrings.xml><?xml version="1.0" encoding="utf-8"?>
<sst xmlns="http://schemas.openxmlformats.org/spreadsheetml/2006/main" count="170" uniqueCount="104">
  <si>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</si>
  <si>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</si>
  <si>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</si>
  <si>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</si>
  <si>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</si>
  <si>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</si>
  <si>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</si>
  <si>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</si>
  <si>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</si>
  <si>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</si>
  <si>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</si>
  <si>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</si>
  <si>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</si>
  <si>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</si>
  <si>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</si>
  <si>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</si>
  <si>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</si>
  <si>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</si>
  <si>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</si>
  <si>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</si>
  <si>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</si>
  <si>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</si>
  <si>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</si>
  <si>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</si>
  <si>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②</t>
    <phoneticPr fontId="1"/>
  </si>
  <si>
    <t>①</t>
    <phoneticPr fontId="1"/>
  </si>
  <si>
    <t>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</si>
  <si>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</si>
  <si>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</si>
  <si>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</si>
  <si>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>了</t>
    <phoneticPr fontId="1"/>
  </si>
  <si>
    <t>要</t>
    <phoneticPr fontId="1"/>
  </si>
  <si>
    <t>会話第10課</t>
    <rPh sb="0" eb="2">
      <t>カイワ</t>
    </rPh>
    <rPh sb="2" eb="3">
      <t>ダイ</t>
    </rPh>
    <rPh sb="5" eb="6">
      <t>カ</t>
    </rPh>
    <phoneticPr fontId="1"/>
  </si>
  <si>
    <t>好喝</t>
    <phoneticPr fontId="1"/>
  </si>
  <si>
    <t>商店</t>
  </si>
  <si>
    <t>颜色</t>
  </si>
  <si>
    <t>小岛</t>
  </si>
  <si>
    <t>便宜</t>
  </si>
  <si>
    <t xml:space="preserve">①听说  ②网球  ③八月  ④七点 </t>
  </si>
  <si>
    <t xml:space="preserve">①留学  ②愉快  ③包子  ④明天 </t>
  </si>
  <si>
    <t xml:space="preserve">①不过  ②不太  ③好吃  ④白色 </t>
    <phoneticPr fontId="1"/>
  </si>
  <si>
    <t xml:space="preserve">①打工  ②衬衣  ③问好  ④两点 </t>
  </si>
  <si>
    <t xml:space="preserve">①时候  ②喜欢  ③可是  ④电车 </t>
  </si>
  <si>
    <t xml:space="preserve">这种有点儿贵。 </t>
  </si>
  <si>
    <t xml:space="preserve">你是在哪儿买的？ </t>
  </si>
  <si>
    <t xml:space="preserve">是你在这儿买的吗？ </t>
  </si>
  <si>
    <t xml:space="preserve">您要贵的还是要便宜的？ </t>
  </si>
  <si>
    <t xml:space="preserve">您喜欢什么颜色？ </t>
  </si>
  <si>
    <t xml:space="preserve">便宜的。 </t>
  </si>
  <si>
    <t xml:space="preserve">那种稍微便宜一点儿，您看看那种。 </t>
  </si>
  <si>
    <t xml:space="preserve">我是在这儿买的。 </t>
  </si>
  <si>
    <t xml:space="preserve">白色。 </t>
  </si>
  <si>
    <t xml:space="preserve">是我在这儿买的。 </t>
  </si>
  <si>
    <t xml:space="preserve">① 我买了一件衬衣。  ② 我想买一件毛衣。 </t>
    <phoneticPr fontId="1"/>
  </si>
  <si>
    <t xml:space="preserve">③ 我没买。          ④ 我不买了。 </t>
    <phoneticPr fontId="1"/>
  </si>
  <si>
    <t xml:space="preserve">① 既便宜又漂亮。 ② 一共七块八。 </t>
  </si>
  <si>
    <t>③ 有点儿贵。     ④ 三块钱。</t>
    <phoneticPr fontId="1"/>
  </si>
  <si>
    <t xml:space="preserve">① 是在附近的商店买的。 ② 是昨天买的。 </t>
  </si>
  <si>
    <t>③ 是我买的。           ④ 是买的。</t>
    <phoneticPr fontId="1"/>
  </si>
  <si>
    <t xml:space="preserve">① 是昨天去的。        ② 是去的公园。 </t>
    <phoneticPr fontId="1"/>
  </si>
  <si>
    <t xml:space="preserve">③ 是和高桥一起去的。   ④ 是坐电车去的。 </t>
    <phoneticPr fontId="1"/>
  </si>
  <si>
    <t xml:space="preserve">③ 是我买的。           ④ 是买的。 </t>
    <phoneticPr fontId="1"/>
  </si>
  <si>
    <t>是去北京师范大学了。</t>
    <phoneticPr fontId="1"/>
  </si>
  <si>
    <t xml:space="preserve">是铃木。 </t>
  </si>
  <si>
    <t xml:space="preserve">白色的。 </t>
  </si>
  <si>
    <t xml:space="preserve">我喜欢大一点儿的。 </t>
  </si>
  <si>
    <t xml:space="preserve">既便宜又好吃。 </t>
  </si>
  <si>
    <t xml:space="preserve">他已经去学校        。 </t>
  </si>
  <si>
    <t xml:space="preserve">您想 </t>
  </si>
  <si>
    <t xml:space="preserve">多少钱的乌龙茶？ </t>
  </si>
  <si>
    <t xml:space="preserve">很便宜， </t>
  </si>
  <si>
    <t xml:space="preserve">买这个吧。 </t>
  </si>
  <si>
    <t>你</t>
  </si>
  <si>
    <t xml:space="preserve">学习中文吗？ </t>
  </si>
  <si>
    <t xml:space="preserve">是多少钱买 </t>
  </si>
  <si>
    <t>?</t>
    <phoneticPr fontId="1"/>
  </si>
  <si>
    <t xml:space="preserve">在学校附近的小商店买的。 </t>
  </si>
  <si>
    <t xml:space="preserve">このシャツはどう思う。 </t>
  </si>
  <si>
    <t>怎么样 件 你 衬衣 这 看</t>
  </si>
  <si>
    <t xml:space="preserve">この人は何もできない。 </t>
  </si>
  <si>
    <t xml:space="preserve">这个人 什么 不会 也 </t>
  </si>
  <si>
    <t>これは値段が少し高い。少し安いのが買いたい。</t>
  </si>
  <si>
    <t xml:space="preserve">这个 想买  贵 一点儿 有点儿 我 便宜 的 </t>
  </si>
  <si>
    <t xml:space="preserve">李さんは私の辞書を持って来た。 </t>
  </si>
  <si>
    <t xml:space="preserve">小李 的 拿来 我 把 词典 了 </t>
  </si>
  <si>
    <t xml:space="preserve">この色はあまり好きではない。青いのが好きである。 </t>
  </si>
  <si>
    <t xml:space="preserve">这种 喜欢 颜色 蓝色 不太 的 喜欢 </t>
  </si>
  <si>
    <t>那</t>
  </si>
  <si>
    <t>想</t>
  </si>
  <si>
    <t>的</t>
  </si>
  <si>
    <t>是</t>
  </si>
  <si>
    <t>　</t>
    <phoneticPr fontId="1"/>
  </si>
  <si>
    <t xml:space="preserve">要 想 了   那 的 是 </t>
    <phoneticPr fontId="1"/>
  </si>
  <si>
    <t>参考翻訳</t>
  </si>
  <si>
    <r>
      <t>这</t>
    </r>
    <r>
      <rPr>
        <sz val="11"/>
        <color theme="1"/>
        <rFont val="ＭＳ Ｐゴシック"/>
        <family val="2"/>
        <scheme val="minor"/>
      </rPr>
      <t>儿的</t>
    </r>
    <r>
      <rPr>
        <sz val="11"/>
        <color theme="1"/>
        <rFont val="ＭＳ Ｐゴシック"/>
        <family val="3"/>
        <charset val="134"/>
        <scheme val="minor"/>
      </rPr>
      <t>饺</t>
    </r>
    <r>
      <rPr>
        <sz val="11"/>
        <color theme="1"/>
        <rFont val="ＭＳ Ｐゴシック"/>
        <family val="2"/>
        <scheme val="minor"/>
      </rPr>
      <t>子怎么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</si>
  <si>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你看</t>
    </r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2"/>
        <scheme val="minor"/>
      </rPr>
      <t>件</t>
    </r>
    <r>
      <rPr>
        <sz val="11"/>
        <color theme="1"/>
        <rFont val="ＭＳ Ｐゴシック"/>
        <family val="3"/>
        <charset val="134"/>
        <scheme val="minor"/>
      </rPr>
      <t>衬</t>
    </r>
    <r>
      <rPr>
        <sz val="11"/>
        <color theme="1"/>
        <rFont val="ＭＳ Ｐゴシック"/>
        <family val="2"/>
        <scheme val="minor"/>
      </rPr>
      <t>衣怎么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</si>
  <si>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这</t>
    </r>
    <r>
      <rPr>
        <sz val="11"/>
        <color theme="1"/>
        <rFont val="ＭＳ Ｐゴシック"/>
        <family val="2"/>
        <scheme val="minor"/>
      </rPr>
      <t>个人什么也不会。</t>
    </r>
    <phoneticPr fontId="1"/>
  </si>
  <si>
    <r>
      <t>这</t>
    </r>
    <r>
      <rPr>
        <sz val="11"/>
        <color theme="1"/>
        <rFont val="ＭＳ Ｐゴシック"/>
        <family val="3"/>
        <charset val="134"/>
        <scheme val="minor"/>
      </rPr>
      <t>个有点儿</t>
    </r>
    <r>
      <rPr>
        <sz val="11"/>
        <color theme="1"/>
        <rFont val="ＭＳ Ｐゴシック"/>
        <family val="3"/>
        <charset val="134"/>
        <scheme val="minor"/>
      </rPr>
      <t>贵</t>
    </r>
    <r>
      <rPr>
        <sz val="11"/>
        <color theme="1"/>
        <rFont val="ＭＳ Ｐゴシック"/>
        <family val="3"/>
        <charset val="134"/>
        <scheme val="minor"/>
      </rPr>
      <t>，我想</t>
    </r>
    <r>
      <rPr>
        <sz val="11"/>
        <color theme="1"/>
        <rFont val="ＭＳ Ｐゴシック"/>
        <family val="3"/>
        <charset val="134"/>
        <scheme val="minor"/>
      </rPr>
      <t>买</t>
    </r>
    <r>
      <rPr>
        <sz val="11"/>
        <color theme="1"/>
        <rFont val="ＭＳ Ｐゴシック"/>
        <family val="3"/>
        <charset val="134"/>
        <scheme val="minor"/>
      </rPr>
      <t>便宜一点儿的。</t>
    </r>
    <phoneticPr fontId="1"/>
  </si>
  <si>
    <r>
      <t>小李把我的</t>
    </r>
    <r>
      <rPr>
        <sz val="11"/>
        <color theme="1"/>
        <rFont val="ＭＳ Ｐゴシック"/>
        <family val="3"/>
        <charset val="134"/>
        <scheme val="minor"/>
      </rPr>
      <t>词</t>
    </r>
    <r>
      <rPr>
        <sz val="11"/>
        <color theme="1"/>
        <rFont val="ＭＳ Ｐゴシック"/>
        <family val="3"/>
        <charset val="134"/>
        <scheme val="minor"/>
      </rPr>
      <t>典拿来了。</t>
    </r>
    <phoneticPr fontId="1"/>
  </si>
  <si>
    <r>
      <t>不太喜</t>
    </r>
    <r>
      <rPr>
        <sz val="11"/>
        <color theme="1"/>
        <rFont val="ＭＳ Ｐゴシック"/>
        <family val="3"/>
        <charset val="134"/>
        <scheme val="minor"/>
      </rPr>
      <t>欢这</t>
    </r>
    <r>
      <rPr>
        <sz val="11"/>
        <color theme="1"/>
        <rFont val="ＭＳ Ｐゴシック"/>
        <family val="2"/>
        <scheme val="minor"/>
      </rPr>
      <t>种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色，喜</t>
    </r>
    <r>
      <rPr>
        <sz val="11"/>
        <color theme="1"/>
        <rFont val="ＭＳ Ｐゴシック"/>
        <family val="3"/>
        <charset val="134"/>
        <scheme val="minor"/>
      </rPr>
      <t>欢蓝</t>
    </r>
    <r>
      <rPr>
        <sz val="11"/>
        <color theme="1"/>
        <rFont val="ＭＳ Ｐゴシック"/>
        <family val="2"/>
        <scheme val="minor"/>
      </rPr>
      <t>色的。</t>
    </r>
    <phoneticPr fontId="1"/>
  </si>
  <si>
    <r>
      <t>是</t>
    </r>
    <r>
      <rPr>
        <sz val="11"/>
        <color theme="1"/>
        <rFont val="ＭＳ Ｐゴシック"/>
        <family val="3"/>
        <charset val="134"/>
        <scheme val="minor"/>
      </rPr>
      <t>铃</t>
    </r>
    <r>
      <rPr>
        <sz val="11"/>
        <color theme="1"/>
        <rFont val="ＭＳ Ｐゴシック"/>
        <family val="2"/>
        <scheme val="minor"/>
      </rPr>
      <t>木去北京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范大学留学了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</si>
  <si>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铃</t>
    </r>
    <r>
      <rPr>
        <sz val="11"/>
        <color theme="1"/>
        <rFont val="ＭＳ Ｐゴシック"/>
        <family val="2"/>
        <scheme val="minor"/>
      </rPr>
      <t>木是去北京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范大学留学了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</si>
  <si>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您喜</t>
    </r>
    <r>
      <rPr>
        <sz val="11"/>
        <color theme="1"/>
        <rFont val="ＭＳ Ｐゴシック"/>
        <family val="3"/>
        <charset val="134"/>
        <scheme val="minor"/>
      </rPr>
      <t>欢</t>
    </r>
    <r>
      <rPr>
        <sz val="11"/>
        <color theme="1"/>
        <rFont val="ＭＳ Ｐゴシック"/>
        <family val="2"/>
        <scheme val="minor"/>
      </rPr>
      <t>哪种？</t>
    </r>
    <phoneticPr fontId="1"/>
  </si>
  <si>
    <r>
      <t>您要什么</t>
    </r>
    <r>
      <rPr>
        <sz val="11"/>
        <color theme="1"/>
        <rFont val="ＭＳ Ｐゴシック"/>
        <family val="3"/>
        <charset val="134"/>
        <scheme val="minor"/>
      </rPr>
      <t>颜</t>
    </r>
    <r>
      <rPr>
        <sz val="11"/>
        <color theme="1"/>
        <rFont val="ＭＳ Ｐゴシック"/>
        <family val="2"/>
        <scheme val="minor"/>
      </rPr>
      <t>色的？</t>
    </r>
    <phoneticPr fontId="1"/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</si>
</sst>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8" fillId="2" borderId="0" xfId="0" applyFont="1" applyFill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topLeftCell="A34" zoomScale="130" zoomScaleNormal="130" workbookViewId="0">
      <selection activeCell="AH35" sqref="AH35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32</v>
      </c>
      <c r="J1" s="32" t="s">
        <v>2</v>
      </c>
      <c r="K1" s="32"/>
      <c r="L1" s="31"/>
      <c r="M1" s="31"/>
      <c r="N1" s="33"/>
      <c r="O1" s="33"/>
      <c r="P1" s="33"/>
      <c r="Q1" s="33"/>
      <c r="R1" s="33"/>
      <c r="S1" s="33"/>
      <c r="T1" s="33"/>
    </row>
    <row r="2" spans="2:32" ht="19.5" customHeight="1">
      <c r="B2" s="34" t="s">
        <v>0</v>
      </c>
      <c r="C2" s="34"/>
      <c r="D2" s="34"/>
      <c r="E2" s="29"/>
      <c r="F2" s="29"/>
      <c r="G2" s="29"/>
      <c r="H2" s="29"/>
      <c r="I2" s="29"/>
      <c r="J2" s="29"/>
      <c r="L2" s="3" t="s">
        <v>1</v>
      </c>
      <c r="N2" s="29"/>
      <c r="O2" s="29"/>
      <c r="P2" s="29"/>
      <c r="Q2" s="29"/>
      <c r="R2" s="29"/>
      <c r="S2" s="29"/>
      <c r="T2" s="29"/>
      <c r="U2" s="29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6" t="s">
        <v>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5"/>
      <c r="AE4" s="5"/>
      <c r="AF4" s="5"/>
    </row>
    <row r="5" spans="2:32" ht="24" customHeight="1">
      <c r="B5" s="5"/>
      <c r="C5" s="5" t="s">
        <v>6</v>
      </c>
      <c r="D5" s="3"/>
      <c r="E5" s="29"/>
      <c r="F5" s="29"/>
      <c r="H5" s="5" t="s">
        <v>3</v>
      </c>
      <c r="I5" s="5" t="s">
        <v>33</v>
      </c>
      <c r="J5" s="4"/>
      <c r="K5" s="4"/>
      <c r="L5" s="6" t="s">
        <v>40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6</v>
      </c>
      <c r="D6" s="3"/>
      <c r="E6" s="29"/>
      <c r="F6" s="29"/>
      <c r="H6" s="5" t="s">
        <v>11</v>
      </c>
      <c r="I6" s="5" t="s">
        <v>34</v>
      </c>
      <c r="J6" s="6"/>
      <c r="K6" s="4"/>
      <c r="L6" s="6" t="s">
        <v>38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6</v>
      </c>
      <c r="D7" s="3"/>
      <c r="E7" s="29"/>
      <c r="F7" s="29"/>
      <c r="H7" s="5" t="s">
        <v>12</v>
      </c>
      <c r="I7" s="5" t="s">
        <v>35</v>
      </c>
      <c r="J7" s="4"/>
      <c r="L7" s="7" t="s">
        <v>39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6</v>
      </c>
      <c r="D8" s="3"/>
      <c r="E8" s="29"/>
      <c r="F8" s="29"/>
      <c r="H8" s="5" t="s">
        <v>13</v>
      </c>
      <c r="I8" s="5" t="s">
        <v>36</v>
      </c>
      <c r="J8" s="4"/>
      <c r="L8" s="7" t="s">
        <v>41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6</v>
      </c>
      <c r="D9" s="3"/>
      <c r="E9" s="29"/>
      <c r="F9" s="29"/>
      <c r="H9" s="5" t="s">
        <v>4</v>
      </c>
      <c r="I9" s="5" t="s">
        <v>37</v>
      </c>
      <c r="J9" s="4"/>
      <c r="L9" s="7" t="s">
        <v>42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6" t="s">
        <v>10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10"/>
      <c r="AE11" s="10"/>
      <c r="AF11" s="10"/>
    </row>
    <row r="12" spans="2:32" ht="26.25" customHeight="1">
      <c r="B12" s="5"/>
      <c r="C12" s="5" t="s">
        <v>6</v>
      </c>
      <c r="D12" s="3"/>
      <c r="E12" s="29"/>
      <c r="F12" s="29"/>
      <c r="H12" s="1" t="s">
        <v>3</v>
      </c>
      <c r="I12" s="1" t="s">
        <v>43</v>
      </c>
    </row>
    <row r="13" spans="2:32" ht="26.25" customHeight="1">
      <c r="B13" s="5"/>
      <c r="C13" s="5" t="s">
        <v>6</v>
      </c>
      <c r="D13" s="3"/>
      <c r="E13" s="29"/>
      <c r="F13" s="29"/>
      <c r="H13" s="1" t="s">
        <v>11</v>
      </c>
      <c r="I13" s="1" t="s">
        <v>44</v>
      </c>
    </row>
    <row r="14" spans="2:32" ht="26.25" customHeight="1">
      <c r="B14" s="5"/>
      <c r="C14" s="5" t="s">
        <v>6</v>
      </c>
      <c r="D14" s="3"/>
      <c r="E14" s="29"/>
      <c r="F14" s="29"/>
      <c r="H14" s="1" t="s">
        <v>12</v>
      </c>
      <c r="I14" s="1" t="s">
        <v>45</v>
      </c>
    </row>
    <row r="15" spans="2:32" ht="26.25" customHeight="1">
      <c r="B15" s="5"/>
      <c r="C15" s="5" t="s">
        <v>6</v>
      </c>
      <c r="D15" s="3"/>
      <c r="E15" s="29"/>
      <c r="F15" s="29"/>
      <c r="H15" s="1" t="s">
        <v>13</v>
      </c>
      <c r="I15" s="1" t="s">
        <v>46</v>
      </c>
    </row>
    <row r="16" spans="2:32" ht="26.25" customHeight="1">
      <c r="B16" s="5"/>
      <c r="C16" s="5" t="s">
        <v>6</v>
      </c>
      <c r="D16" s="3"/>
      <c r="E16" s="29"/>
      <c r="F16" s="29"/>
      <c r="H16" s="1" t="s">
        <v>4</v>
      </c>
      <c r="I16" s="1" t="s">
        <v>47</v>
      </c>
    </row>
    <row r="17" spans="2:32" ht="28.5" customHeight="1">
      <c r="B17" s="11"/>
      <c r="C17" s="9"/>
      <c r="D17" s="9"/>
      <c r="E17" s="1">
        <v>1</v>
      </c>
      <c r="F17" s="1" t="s">
        <v>48</v>
      </c>
      <c r="J17" s="1">
        <v>2</v>
      </c>
      <c r="K17" s="1" t="s">
        <v>49</v>
      </c>
      <c r="X17" s="1">
        <v>5</v>
      </c>
      <c r="Y17" s="1" t="s">
        <v>50</v>
      </c>
    </row>
    <row r="18" spans="2:32" ht="13.5" customHeight="1">
      <c r="B18" s="11"/>
      <c r="C18" s="9"/>
      <c r="D18" s="9"/>
      <c r="E18" s="1">
        <v>3</v>
      </c>
      <c r="F18" s="1" t="s">
        <v>51</v>
      </c>
      <c r="P18" s="1">
        <v>4</v>
      </c>
      <c r="Q18" s="1" t="s">
        <v>52</v>
      </c>
    </row>
    <row r="19" spans="2:32" ht="32.25" customHeight="1">
      <c r="B19" s="36" t="s">
        <v>14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5"/>
      <c r="AE19" s="5"/>
      <c r="AF19" s="5"/>
    </row>
    <row r="20" spans="2:32" ht="13.5" customHeight="1">
      <c r="B20" s="5"/>
      <c r="C20" s="5" t="s">
        <v>6</v>
      </c>
      <c r="D20" s="3"/>
      <c r="E20" s="37"/>
      <c r="F20" s="38"/>
      <c r="I20" s="1" t="s">
        <v>3</v>
      </c>
      <c r="J20" s="1" t="s">
        <v>53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54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6</v>
      </c>
      <c r="D23" s="3"/>
      <c r="E23" s="37"/>
      <c r="F23" s="38"/>
      <c r="I23" s="1" t="s">
        <v>11</v>
      </c>
      <c r="J23" s="1" t="s">
        <v>55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56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6</v>
      </c>
      <c r="D26" s="3"/>
      <c r="E26" s="37"/>
      <c r="F26" s="38"/>
      <c r="I26" s="1" t="s">
        <v>12</v>
      </c>
      <c r="J26" s="1" t="s">
        <v>57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58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6</v>
      </c>
      <c r="D29" s="3"/>
      <c r="E29" s="37"/>
      <c r="F29" s="38"/>
      <c r="I29" s="1" t="s">
        <v>13</v>
      </c>
      <c r="J29" s="12" t="s">
        <v>59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60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6</v>
      </c>
      <c r="D32" s="3"/>
      <c r="E32" s="31"/>
      <c r="F32" s="31"/>
      <c r="I32" s="1" t="s">
        <v>4</v>
      </c>
      <c r="J32" s="12" t="s">
        <v>57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61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6" t="s">
        <v>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2:32" ht="19.5" customHeight="1">
      <c r="B36" s="3">
        <v>1</v>
      </c>
      <c r="C36" s="5" t="s">
        <v>6</v>
      </c>
      <c r="D36" s="3"/>
      <c r="E36" s="29"/>
      <c r="F36" s="29"/>
      <c r="G36" s="13"/>
      <c r="H36" s="13" t="s">
        <v>7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6</v>
      </c>
      <c r="D38" s="3"/>
      <c r="E38" s="29"/>
      <c r="F38" s="29"/>
      <c r="G38" s="13"/>
      <c r="H38" s="13" t="s">
        <v>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6</v>
      </c>
      <c r="D40" s="3"/>
      <c r="E40" s="29"/>
      <c r="F40" s="29"/>
      <c r="G40" s="13"/>
      <c r="H40" s="13" t="s">
        <v>7</v>
      </c>
      <c r="I40" s="14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6</v>
      </c>
      <c r="D42" s="3"/>
      <c r="E42" s="29"/>
      <c r="F42" s="29"/>
      <c r="G42" s="13"/>
      <c r="H42" s="13" t="s">
        <v>7</v>
      </c>
      <c r="I42" s="1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6</v>
      </c>
      <c r="D44" s="3"/>
      <c r="E44" s="29"/>
      <c r="F44" s="29"/>
      <c r="G44" s="13"/>
      <c r="H44" s="13" t="s">
        <v>7</v>
      </c>
      <c r="I44" s="15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2:32" ht="39" customHeight="1">
      <c r="B45" s="3"/>
      <c r="C45" s="1">
        <v>1</v>
      </c>
      <c r="D45" s="1" t="s">
        <v>62</v>
      </c>
      <c r="N45" s="1">
        <v>2</v>
      </c>
      <c r="O45" s="1" t="s">
        <v>63</v>
      </c>
      <c r="Z45" s="1">
        <v>5</v>
      </c>
      <c r="AA45" s="18" t="s">
        <v>66</v>
      </c>
      <c r="AB45" s="18"/>
      <c r="AC45" s="18"/>
      <c r="AD45" s="18"/>
      <c r="AE45" s="18"/>
    </row>
    <row r="46" spans="2:32">
      <c r="B46" s="3"/>
      <c r="C46" s="1">
        <v>3</v>
      </c>
      <c r="D46" s="1" t="s">
        <v>64</v>
      </c>
      <c r="N46" s="1">
        <v>4</v>
      </c>
      <c r="O46" s="1" t="s">
        <v>65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5" t="s">
        <v>15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92</v>
      </c>
    </row>
    <row r="50" spans="2:40" ht="22.5" customHeight="1">
      <c r="C50" s="5" t="s">
        <v>6</v>
      </c>
      <c r="D50" s="28"/>
      <c r="E50" s="31"/>
      <c r="F50" s="31"/>
      <c r="G50" s="31"/>
      <c r="H50" s="31"/>
      <c r="I50" s="31"/>
      <c r="K50" s="1">
        <v>1</v>
      </c>
      <c r="L50" s="13" t="s">
        <v>67</v>
      </c>
      <c r="M50" s="13"/>
      <c r="N50" s="13"/>
      <c r="O50" s="13"/>
      <c r="P50" s="24"/>
      <c r="Q50" s="24"/>
      <c r="R50" s="26"/>
      <c r="S50" s="25"/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6</v>
      </c>
      <c r="D51" s="28"/>
      <c r="E51" s="31"/>
      <c r="F51" s="31"/>
      <c r="G51" s="31"/>
      <c r="H51" s="31"/>
      <c r="I51" s="31"/>
      <c r="K51" s="1">
        <v>2</v>
      </c>
      <c r="L51" s="24" t="s">
        <v>68</v>
      </c>
      <c r="M51" s="24"/>
      <c r="N51" s="26"/>
      <c r="O51" s="26"/>
      <c r="P51" s="26"/>
      <c r="Q51" s="24"/>
      <c r="R51" s="24" t="s">
        <v>69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6</v>
      </c>
      <c r="D52" s="28"/>
      <c r="E52" s="31"/>
      <c r="F52" s="31"/>
      <c r="G52" s="31"/>
      <c r="H52" s="31"/>
      <c r="I52" s="31"/>
      <c r="K52" s="1">
        <v>3</v>
      </c>
      <c r="L52" s="24" t="s">
        <v>70</v>
      </c>
      <c r="M52" s="24"/>
      <c r="N52" s="24"/>
      <c r="O52" s="24"/>
      <c r="P52" s="24"/>
      <c r="Q52" s="26"/>
      <c r="R52" s="26"/>
      <c r="S52" s="24" t="s">
        <v>71</v>
      </c>
      <c r="T52" s="24"/>
      <c r="U52" s="24"/>
      <c r="V52" s="24"/>
      <c r="W52" s="24"/>
      <c r="X52" s="24"/>
      <c r="Y52" s="24"/>
      <c r="Z52" s="27"/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6</v>
      </c>
      <c r="D53" s="28"/>
      <c r="E53" s="31"/>
      <c r="F53" s="31"/>
      <c r="G53" s="31"/>
      <c r="H53" s="31"/>
      <c r="I53" s="31"/>
      <c r="K53" s="1">
        <v>4</v>
      </c>
      <c r="L53" s="27" t="s">
        <v>72</v>
      </c>
      <c r="M53" s="25"/>
      <c r="N53" s="25"/>
      <c r="O53" s="25"/>
      <c r="P53" s="27"/>
      <c r="Q53" s="24" t="s">
        <v>73</v>
      </c>
      <c r="R53" s="24"/>
      <c r="S53" s="24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6</v>
      </c>
      <c r="D54" s="28"/>
      <c r="E54" s="31"/>
      <c r="F54" s="31"/>
      <c r="G54" s="31"/>
      <c r="H54" s="31"/>
      <c r="I54" s="31"/>
      <c r="K54" s="1">
        <v>5</v>
      </c>
      <c r="L54" s="27" t="s">
        <v>74</v>
      </c>
      <c r="M54" s="27"/>
      <c r="N54" s="27"/>
      <c r="O54" s="27"/>
      <c r="P54" s="27"/>
      <c r="Q54" s="26"/>
      <c r="R54" s="26"/>
      <c r="S54" s="26"/>
      <c r="T54" s="27" t="s">
        <v>75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6</v>
      </c>
      <c r="D55" s="28"/>
      <c r="E55" s="31"/>
      <c r="F55" s="31"/>
      <c r="G55" s="31"/>
      <c r="H55" s="31"/>
      <c r="I55" s="31"/>
      <c r="K55" s="1">
        <v>6</v>
      </c>
      <c r="L55" s="25"/>
      <c r="M55" s="26"/>
      <c r="N55" s="26"/>
      <c r="O55" s="26"/>
      <c r="P55" s="25"/>
      <c r="Q55" s="27" t="s">
        <v>76</v>
      </c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5</v>
      </c>
    </row>
    <row r="59" spans="2:40" ht="19.5" customHeight="1">
      <c r="B59" s="9">
        <v>1</v>
      </c>
      <c r="C59" s="13" t="s">
        <v>77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78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2:40" ht="13.5" customHeight="1">
      <c r="B62" s="3">
        <v>2</v>
      </c>
      <c r="C62" s="18" t="s">
        <v>79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40" ht="13.5" customHeight="1">
      <c r="B63" s="3"/>
      <c r="C63" s="19" t="s">
        <v>80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2:28" ht="13.5" customHeight="1">
      <c r="B65" s="3">
        <v>3</v>
      </c>
      <c r="C65" s="18" t="s">
        <v>81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82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2:28" ht="12.75" customHeight="1">
      <c r="B68" s="3">
        <v>4</v>
      </c>
      <c r="C68" s="18" t="s">
        <v>83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84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2:28" ht="13.5" customHeight="1">
      <c r="B71" s="1">
        <v>5</v>
      </c>
      <c r="C71" s="1" t="s">
        <v>85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86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</sheetData>
  <mergeCells count="46">
    <mergeCell ref="J40:AE40"/>
    <mergeCell ref="J42:AE42"/>
    <mergeCell ref="E20:F20"/>
    <mergeCell ref="E23:F23"/>
    <mergeCell ref="E26:F26"/>
    <mergeCell ref="E29:F29"/>
    <mergeCell ref="E32:F3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36:F36"/>
    <mergeCell ref="E38:F38"/>
    <mergeCell ref="E40:F40"/>
    <mergeCell ref="E42:F42"/>
    <mergeCell ref="E44:F44"/>
    <mergeCell ref="J36:AE36"/>
    <mergeCell ref="J38:AE38"/>
    <mergeCell ref="J1:K1"/>
    <mergeCell ref="L1:T1"/>
    <mergeCell ref="B2:D2"/>
    <mergeCell ref="E2:J2"/>
    <mergeCell ref="N2:U2"/>
    <mergeCell ref="E52:I52"/>
    <mergeCell ref="E53:I53"/>
    <mergeCell ref="E54:I54"/>
    <mergeCell ref="E55:I55"/>
    <mergeCell ref="E50:I50"/>
    <mergeCell ref="E51:I51"/>
    <mergeCell ref="C73:AB73"/>
    <mergeCell ref="C64:AB64"/>
    <mergeCell ref="C67:AB67"/>
    <mergeCell ref="C70:AB70"/>
    <mergeCell ref="C61:AB61"/>
    <mergeCell ref="E15:F15"/>
    <mergeCell ref="E16:F16"/>
    <mergeCell ref="E8:F8"/>
    <mergeCell ref="E9:F9"/>
    <mergeCell ref="E12:F12"/>
    <mergeCell ref="E13:F13"/>
    <mergeCell ref="E14:F14"/>
  </mergeCells>
  <phoneticPr fontId="1"/>
  <conditionalFormatting sqref="L1:T1 N2:U2 E2:J2 E5:F9 E12:F16 E20:F20 E23:F23 E26:F26 E29:F29 E32:F32 J36:AE36 J38:AE38 J40:AE40 J42:AE42 J44:AE44 C64:AB64 C61:AB61 E36:F36 E38:F38 E40:F40 E42:F42 E44:F44 C67:AB67 C70:AB70 C73:AB73 E50:I55">
    <cfRule type="cellIs" dxfId="3" priority="3" operator="equal">
      <formula>0</formula>
    </cfRule>
  </conditionalFormatting>
  <dataValidations count="3">
    <dataValidation type="list" allowBlank="1" showInputMessage="1" showErrorMessage="1" sqref="B12 E44:F44 E42:F42 E40:F40 E38:F38 E36:F36 E12:F16">
      <formula1>"1,2,3,4,5"</formula1>
    </dataValidation>
    <dataValidation type="list" allowBlank="1" showInputMessage="1" showErrorMessage="1" sqref="E32:F32 E5:F9 E20:F20 E23:F23 E26:F26 E29:F29">
      <formula1>"①,②,③,④"</formula1>
    </dataValidation>
    <dataValidation type="list" allowBlank="1" showInputMessage="1" showErrorMessage="1" sqref="E50:I55">
      <formula1>"要,想,了,那,的,是 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52" r:id="rId3"/>
    <oleObject progId="パッケージャー シェル オブジェクト" shapeId="1053" r:id="rId4"/>
    <oleObject progId="パッケージャー シェル オブジェクト" shapeId="1054" r:id="rId5"/>
    <oleObject progId="パッケージャー シェル オブジェクト" shapeId="1055" r:id="rId6"/>
    <oleObject progId="パッケージャー シェル オブジェクト" shapeId="1056" r:id="rId7"/>
    <oleObject progId="パッケージャー シェル オブジェクト" shapeId="1057" r:id="rId8"/>
    <oleObject progId="パッケージャー シェル オブジェクト" shapeId="1058" r:id="rId9"/>
    <oleObject progId="パッケージャー シェル オブジェクト" shapeId="1059" r:id="rId10"/>
    <oleObject progId="パッケージャー シェル オブジェクト" shapeId="1060" r:id="rId11"/>
    <oleObject progId="パッケージャー シェル オブジェクト" shapeId="1061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4"/>
  <sheetViews>
    <sheetView topLeftCell="E25" zoomScale="145" zoomScaleNormal="145" workbookViewId="0">
      <selection activeCell="H37" sqref="A1:XFD1048576"/>
    </sheetView>
  </sheetViews>
  <sheetFormatPr defaultRowHeight="13.5"/>
  <cols>
    <col min="1" max="2" width="9" style="22"/>
    <col min="3" max="3" width="15.25" style="22" customWidth="1"/>
    <col min="4" max="7" width="9" style="22"/>
    <col min="8" max="8" width="53.5" style="22" customWidth="1"/>
    <col min="9" max="15" width="9" style="22"/>
    <col min="16" max="16" width="14.125" style="22" customWidth="1"/>
    <col min="17" max="16384" width="9" style="22"/>
  </cols>
  <sheetData>
    <row r="3" spans="2:21" s="22" customFormat="1">
      <c r="B3" s="22" t="s">
        <v>2</v>
      </c>
      <c r="C3" s="22">
        <f>'1'!L1</f>
        <v>0</v>
      </c>
      <c r="Q3" s="22" t="s">
        <v>27</v>
      </c>
      <c r="U3" s="22" t="s">
        <v>28</v>
      </c>
    </row>
    <row r="4" spans="2:21" s="22" customFormat="1">
      <c r="B4" s="22" t="s">
        <v>0</v>
      </c>
      <c r="C4" s="22">
        <f>'1'!E2</f>
        <v>0</v>
      </c>
      <c r="J4" s="22" t="s">
        <v>22</v>
      </c>
    </row>
    <row r="5" spans="2:21" s="22" customFormat="1">
      <c r="B5" s="22" t="s">
        <v>16</v>
      </c>
      <c r="C5" s="22">
        <f>'1'!N2</f>
        <v>0</v>
      </c>
    </row>
    <row r="8" spans="2:21" s="22" customFormat="1">
      <c r="E8" s="22" t="s">
        <v>17</v>
      </c>
      <c r="F8" s="22">
        <v>1</v>
      </c>
      <c r="G8" s="22">
        <f>'1'!E5</f>
        <v>0</v>
      </c>
      <c r="J8" s="22" t="s">
        <v>17</v>
      </c>
      <c r="K8" s="22">
        <v>1</v>
      </c>
      <c r="L8" s="22" t="s">
        <v>26</v>
      </c>
      <c r="Q8" s="22" t="str">
        <f>IF(G8=L8,"〇","×")</f>
        <v>×</v>
      </c>
      <c r="U8" s="22">
        <f>IF(Q8="〇",2,0)</f>
        <v>0</v>
      </c>
    </row>
    <row r="9" spans="2:21" s="22" customFormat="1">
      <c r="F9" s="22">
        <v>2</v>
      </c>
      <c r="G9" s="22">
        <f>'1'!E6</f>
        <v>0</v>
      </c>
      <c r="K9" s="22">
        <v>2</v>
      </c>
      <c r="L9" s="22" t="s">
        <v>26</v>
      </c>
      <c r="Q9" s="22" t="str">
        <f t="shared" ref="Q9:Q48" si="0">IF(G9=L9,"〇","×")</f>
        <v>×</v>
      </c>
      <c r="U9" s="22">
        <f t="shared" ref="U9:U26" si="1">IF(Q9="〇",2,0)</f>
        <v>0</v>
      </c>
    </row>
    <row r="10" spans="2:21" s="22" customFormat="1">
      <c r="F10" s="22">
        <v>3</v>
      </c>
      <c r="G10" s="22">
        <f>'1'!E7</f>
        <v>0</v>
      </c>
      <c r="K10" s="22">
        <v>3</v>
      </c>
      <c r="L10" s="22" t="s">
        <v>24</v>
      </c>
      <c r="Q10" s="22" t="str">
        <f t="shared" si="0"/>
        <v>×</v>
      </c>
      <c r="U10" s="22">
        <f t="shared" si="1"/>
        <v>0</v>
      </c>
    </row>
    <row r="11" spans="2:21" s="22" customFormat="1">
      <c r="F11" s="22">
        <v>4</v>
      </c>
      <c r="G11" s="22">
        <f>'1'!E8</f>
        <v>0</v>
      </c>
      <c r="K11" s="22">
        <v>4</v>
      </c>
      <c r="L11" s="22" t="s">
        <v>23</v>
      </c>
      <c r="Q11" s="22" t="str">
        <f t="shared" si="0"/>
        <v>×</v>
      </c>
      <c r="U11" s="22">
        <f t="shared" si="1"/>
        <v>0</v>
      </c>
    </row>
    <row r="12" spans="2:21" s="22" customFormat="1">
      <c r="F12" s="22">
        <v>5</v>
      </c>
      <c r="G12" s="22">
        <f>'1'!E9</f>
        <v>0</v>
      </c>
      <c r="K12" s="22">
        <v>5</v>
      </c>
      <c r="L12" s="22" t="s">
        <v>25</v>
      </c>
      <c r="Q12" s="22" t="str">
        <f t="shared" si="0"/>
        <v>×</v>
      </c>
      <c r="U12" s="22">
        <f t="shared" si="1"/>
        <v>0</v>
      </c>
    </row>
    <row r="15" spans="2:21" s="22" customFormat="1">
      <c r="E15" s="22" t="s">
        <v>18</v>
      </c>
      <c r="F15" s="22">
        <v>1</v>
      </c>
      <c r="G15" s="22">
        <f>'1'!E12</f>
        <v>0</v>
      </c>
      <c r="J15" s="22" t="s">
        <v>18</v>
      </c>
      <c r="K15" s="22">
        <v>1</v>
      </c>
      <c r="L15" s="22">
        <v>2</v>
      </c>
      <c r="Q15" s="22" t="str">
        <f t="shared" si="0"/>
        <v>×</v>
      </c>
      <c r="U15" s="22">
        <f t="shared" si="1"/>
        <v>0</v>
      </c>
    </row>
    <row r="16" spans="2:21" s="22" customFormat="1">
      <c r="F16" s="22">
        <v>2</v>
      </c>
      <c r="G16" s="22">
        <f>'1'!E13</f>
        <v>0</v>
      </c>
      <c r="K16" s="22">
        <v>2</v>
      </c>
      <c r="L16" s="22">
        <v>5</v>
      </c>
      <c r="Q16" s="22" t="str">
        <f t="shared" si="0"/>
        <v>×</v>
      </c>
      <c r="U16" s="22">
        <f t="shared" si="1"/>
        <v>0</v>
      </c>
    </row>
    <row r="17" spans="5:21" s="22" customFormat="1">
      <c r="F17" s="22">
        <v>3</v>
      </c>
      <c r="G17" s="22">
        <f>'1'!E14</f>
        <v>0</v>
      </c>
      <c r="K17" s="22">
        <v>3</v>
      </c>
      <c r="L17" s="22">
        <v>4</v>
      </c>
      <c r="Q17" s="22" t="str">
        <f t="shared" si="0"/>
        <v>×</v>
      </c>
      <c r="U17" s="22">
        <f t="shared" si="1"/>
        <v>0</v>
      </c>
    </row>
    <row r="18" spans="5:21" s="22" customFormat="1">
      <c r="F18" s="22">
        <v>4</v>
      </c>
      <c r="G18" s="22">
        <f>'1'!E15</f>
        <v>0</v>
      </c>
      <c r="K18" s="22">
        <v>4</v>
      </c>
      <c r="L18" s="22">
        <v>1</v>
      </c>
      <c r="Q18" s="22" t="str">
        <f t="shared" si="0"/>
        <v>×</v>
      </c>
      <c r="U18" s="22">
        <f t="shared" si="1"/>
        <v>0</v>
      </c>
    </row>
    <row r="19" spans="5:21" s="22" customFormat="1">
      <c r="F19" s="22">
        <v>5</v>
      </c>
      <c r="G19" s="22">
        <f>'1'!E16</f>
        <v>0</v>
      </c>
      <c r="K19" s="22">
        <v>5</v>
      </c>
      <c r="L19" s="22">
        <v>3</v>
      </c>
      <c r="Q19" s="22" t="str">
        <f t="shared" si="0"/>
        <v>×</v>
      </c>
      <c r="U19" s="22">
        <f t="shared" si="1"/>
        <v>0</v>
      </c>
    </row>
    <row r="22" spans="5:21" s="22" customFormat="1">
      <c r="E22" s="22" t="s">
        <v>19</v>
      </c>
      <c r="F22" s="22">
        <v>1</v>
      </c>
      <c r="G22" s="22">
        <f>'1'!E20</f>
        <v>0</v>
      </c>
      <c r="J22" s="22" t="s">
        <v>19</v>
      </c>
      <c r="K22" s="22">
        <v>1</v>
      </c>
      <c r="L22" s="22" t="s">
        <v>23</v>
      </c>
      <c r="Q22" s="22" t="str">
        <f t="shared" si="0"/>
        <v>×</v>
      </c>
      <c r="U22" s="22">
        <f t="shared" si="1"/>
        <v>0</v>
      </c>
    </row>
    <row r="23" spans="5:21" s="22" customFormat="1">
      <c r="F23" s="22">
        <v>2</v>
      </c>
      <c r="G23" s="22">
        <f>'1'!E23</f>
        <v>0</v>
      </c>
      <c r="K23" s="22">
        <v>2</v>
      </c>
      <c r="L23" s="22" t="s">
        <v>26</v>
      </c>
      <c r="Q23" s="22" t="str">
        <f t="shared" si="0"/>
        <v>×</v>
      </c>
      <c r="U23" s="22">
        <f t="shared" si="1"/>
        <v>0</v>
      </c>
    </row>
    <row r="24" spans="5:21" s="22" customFormat="1">
      <c r="F24" s="22">
        <v>3</v>
      </c>
      <c r="G24" s="22">
        <f>'1'!E26</f>
        <v>0</v>
      </c>
      <c r="K24" s="22">
        <v>3</v>
      </c>
      <c r="L24" s="22" t="s">
        <v>26</v>
      </c>
      <c r="Q24" s="22" t="str">
        <f t="shared" si="0"/>
        <v>×</v>
      </c>
      <c r="U24" s="22">
        <f t="shared" si="1"/>
        <v>0</v>
      </c>
    </row>
    <row r="25" spans="5:21" s="22" customFormat="1">
      <c r="F25" s="22">
        <v>4</v>
      </c>
      <c r="G25" s="22">
        <f>'1'!E29</f>
        <v>0</v>
      </c>
      <c r="K25" s="22">
        <v>4</v>
      </c>
      <c r="L25" s="22" t="s">
        <v>26</v>
      </c>
      <c r="Q25" s="22" t="str">
        <f t="shared" si="0"/>
        <v>×</v>
      </c>
      <c r="U25" s="22">
        <f t="shared" si="1"/>
        <v>0</v>
      </c>
    </row>
    <row r="26" spans="5:21" s="22" customFormat="1">
      <c r="F26" s="22">
        <v>5</v>
      </c>
      <c r="G26" s="22">
        <f>'1'!E32</f>
        <v>0</v>
      </c>
      <c r="K26" s="22">
        <v>5</v>
      </c>
      <c r="L26" s="22" t="s">
        <v>25</v>
      </c>
      <c r="Q26" s="22" t="str">
        <f t="shared" si="0"/>
        <v>×</v>
      </c>
      <c r="U26" s="22">
        <f t="shared" si="1"/>
        <v>0</v>
      </c>
    </row>
    <row r="29" spans="5:21" s="22" customFormat="1">
      <c r="E29" s="22" t="s">
        <v>20</v>
      </c>
      <c r="F29" s="22">
        <v>1</v>
      </c>
      <c r="G29" s="22">
        <f>'1'!E36</f>
        <v>0</v>
      </c>
      <c r="J29" s="22" t="s">
        <v>20</v>
      </c>
      <c r="K29" s="22">
        <v>1</v>
      </c>
      <c r="L29" s="22">
        <v>5</v>
      </c>
      <c r="M29" s="23" t="s">
        <v>94</v>
      </c>
      <c r="Q29" s="22" t="str">
        <f>IF(G29=L29,"〇","×")</f>
        <v>×</v>
      </c>
      <c r="U29" s="22">
        <f>IF(Q29="〇",4,0)</f>
        <v>0</v>
      </c>
    </row>
    <row r="30" spans="5:21" s="22" customFormat="1">
      <c r="F30" s="22">
        <v>2</v>
      </c>
      <c r="G30" s="22">
        <f>'1'!E38</f>
        <v>0</v>
      </c>
      <c r="K30" s="22">
        <v>2</v>
      </c>
      <c r="L30" s="22">
        <v>2</v>
      </c>
      <c r="M30" s="22" t="s">
        <v>100</v>
      </c>
      <c r="Q30" s="22" t="str">
        <f>IF(AND(G30=L30)=TRUE,"〇","×")</f>
        <v>×</v>
      </c>
      <c r="U30" s="22">
        <f t="shared" ref="U30:U33" si="2">IF(Q30="〇",4,0)</f>
        <v>0</v>
      </c>
    </row>
    <row r="31" spans="5:21" s="22" customFormat="1">
      <c r="F31" s="22">
        <v>3</v>
      </c>
      <c r="G31" s="22">
        <f>'1'!E40</f>
        <v>0</v>
      </c>
      <c r="K31" s="22">
        <v>3</v>
      </c>
      <c r="L31" s="22">
        <v>1</v>
      </c>
      <c r="M31" s="23" t="s">
        <v>101</v>
      </c>
      <c r="Q31" s="22" t="str">
        <f>IF(AND(G31=L31)=TRUE,"〇","×")</f>
        <v>×</v>
      </c>
      <c r="U31" s="22">
        <f t="shared" si="2"/>
        <v>0</v>
      </c>
    </row>
    <row r="32" spans="5:21" s="22" customFormat="1">
      <c r="F32" s="22">
        <v>4</v>
      </c>
      <c r="G32" s="22">
        <f>'1'!E42</f>
        <v>0</v>
      </c>
      <c r="K32" s="22">
        <v>4</v>
      </c>
      <c r="L32" s="22">
        <v>4</v>
      </c>
      <c r="M32" s="22" t="s">
        <v>102</v>
      </c>
      <c r="Q32" s="22" t="str">
        <f>IF(AND(G32=L32)=TRUE,"〇","×")</f>
        <v>×</v>
      </c>
      <c r="U32" s="22">
        <f t="shared" si="2"/>
        <v>0</v>
      </c>
    </row>
    <row r="33" spans="5:21" s="22" customFormat="1">
      <c r="F33" s="22">
        <v>5</v>
      </c>
      <c r="G33" s="22">
        <f>'1'!E44</f>
        <v>0</v>
      </c>
      <c r="K33" s="22">
        <v>5</v>
      </c>
      <c r="L33" s="22">
        <v>3</v>
      </c>
      <c r="M33" s="22" t="s">
        <v>103</v>
      </c>
      <c r="Q33" s="22" t="str">
        <f>IF(AND(G33=L33)=TRUE,"〇","×")</f>
        <v>×</v>
      </c>
      <c r="U33" s="22">
        <f t="shared" si="2"/>
        <v>0</v>
      </c>
    </row>
    <row r="36" spans="5:21" s="22" customFormat="1">
      <c r="E36" s="22" t="s">
        <v>21</v>
      </c>
      <c r="F36" s="22">
        <v>1</v>
      </c>
      <c r="G36" s="22">
        <f>'1'!E50</f>
        <v>0</v>
      </c>
      <c r="J36" s="22" t="s">
        <v>21</v>
      </c>
      <c r="K36" s="22">
        <v>1</v>
      </c>
      <c r="L36" s="22" t="s">
        <v>30</v>
      </c>
      <c r="Q36" s="22" t="str">
        <f t="shared" si="0"/>
        <v>×</v>
      </c>
      <c r="U36" s="22">
        <f>IF(Q36="〇",5,0)</f>
        <v>0</v>
      </c>
    </row>
    <row r="37" spans="5:21" s="22" customFormat="1">
      <c r="F37" s="22">
        <v>2</v>
      </c>
      <c r="G37" s="22">
        <f>'1'!E51</f>
        <v>0</v>
      </c>
      <c r="K37" s="22">
        <v>2</v>
      </c>
      <c r="L37" s="22" t="s">
        <v>31</v>
      </c>
      <c r="Q37" s="22" t="str">
        <f t="shared" si="0"/>
        <v>×</v>
      </c>
      <c r="U37" s="22">
        <f t="shared" ref="U37:U41" si="3">IF(Q37="〇",5,0)</f>
        <v>0</v>
      </c>
    </row>
    <row r="38" spans="5:21" s="22" customFormat="1">
      <c r="F38" s="22">
        <v>3</v>
      </c>
      <c r="G38" s="22">
        <f>'1'!E52</f>
        <v>0</v>
      </c>
      <c r="K38" s="22">
        <v>3</v>
      </c>
      <c r="L38" s="22" t="s">
        <v>87</v>
      </c>
      <c r="Q38" s="22" t="str">
        <f t="shared" si="0"/>
        <v>×</v>
      </c>
      <c r="U38" s="22">
        <f t="shared" si="3"/>
        <v>0</v>
      </c>
    </row>
    <row r="39" spans="5:21" s="22" customFormat="1">
      <c r="F39" s="22">
        <v>4</v>
      </c>
      <c r="G39" s="22">
        <f>'1'!E53</f>
        <v>0</v>
      </c>
      <c r="K39" s="22">
        <v>4</v>
      </c>
      <c r="L39" s="23" t="s">
        <v>88</v>
      </c>
      <c r="Q39" s="22" t="str">
        <f t="shared" si="0"/>
        <v>×</v>
      </c>
      <c r="U39" s="22">
        <f t="shared" si="3"/>
        <v>0</v>
      </c>
    </row>
    <row r="40" spans="5:21" s="22" customFormat="1">
      <c r="F40" s="22">
        <v>5</v>
      </c>
      <c r="G40" s="22">
        <f>'1'!E54</f>
        <v>0</v>
      </c>
      <c r="K40" s="22">
        <v>5</v>
      </c>
      <c r="L40" s="23" t="s">
        <v>89</v>
      </c>
      <c r="Q40" s="22" t="str">
        <f t="shared" si="0"/>
        <v>×</v>
      </c>
      <c r="U40" s="22">
        <f t="shared" si="3"/>
        <v>0</v>
      </c>
    </row>
    <row r="41" spans="5:21" s="22" customFormat="1">
      <c r="F41" s="22">
        <v>6</v>
      </c>
      <c r="G41" s="22">
        <f>'1'!E55</f>
        <v>0</v>
      </c>
      <c r="K41" s="22">
        <v>6</v>
      </c>
      <c r="L41" s="23" t="s">
        <v>90</v>
      </c>
      <c r="Q41" s="22" t="str">
        <f t="shared" si="0"/>
        <v>×</v>
      </c>
      <c r="U41" s="22">
        <f t="shared" si="3"/>
        <v>0</v>
      </c>
    </row>
    <row r="44" spans="5:21" s="22" customFormat="1">
      <c r="E44" s="22" t="s">
        <v>29</v>
      </c>
      <c r="F44" s="22">
        <v>1</v>
      </c>
      <c r="G44" s="22">
        <f>'1'!C61</f>
        <v>0</v>
      </c>
      <c r="J44" s="22" t="s">
        <v>29</v>
      </c>
      <c r="K44" s="22">
        <v>1</v>
      </c>
      <c r="L44" s="22" t="s">
        <v>95</v>
      </c>
      <c r="Q44" s="22" t="str">
        <f>IF(G44=L44,"〇","×")</f>
        <v>×</v>
      </c>
      <c r="U44" s="22">
        <f>IF(Q44="〇",4,0)</f>
        <v>0</v>
      </c>
    </row>
    <row r="45" spans="5:21" s="22" customFormat="1">
      <c r="F45" s="22">
        <v>2</v>
      </c>
      <c r="G45" s="22">
        <f>'1'!C64</f>
        <v>0</v>
      </c>
      <c r="K45" s="22">
        <v>2</v>
      </c>
      <c r="L45" s="23" t="s">
        <v>96</v>
      </c>
      <c r="Q45" s="22" t="str">
        <f>IF(G45=L45,"〇","×")</f>
        <v>×</v>
      </c>
      <c r="U45" s="22">
        <f t="shared" ref="U45:U48" si="4">IF(Q45="〇",4,0)</f>
        <v>0</v>
      </c>
    </row>
    <row r="46" spans="5:21" s="22" customFormat="1">
      <c r="F46" s="22">
        <v>3</v>
      </c>
      <c r="G46" s="22">
        <f>'1'!C67</f>
        <v>0</v>
      </c>
      <c r="K46" s="22">
        <v>3</v>
      </c>
      <c r="L46" s="23" t="s">
        <v>97</v>
      </c>
      <c r="Q46" s="22" t="str">
        <f t="shared" si="0"/>
        <v>×</v>
      </c>
      <c r="U46" s="22">
        <f t="shared" si="4"/>
        <v>0</v>
      </c>
    </row>
    <row r="47" spans="5:21" s="22" customFormat="1">
      <c r="F47" s="22">
        <v>4</v>
      </c>
      <c r="G47" s="22">
        <f>'1'!C70</f>
        <v>0</v>
      </c>
      <c r="K47" s="22">
        <v>4</v>
      </c>
      <c r="L47" s="23" t="s">
        <v>98</v>
      </c>
      <c r="Q47" s="22" t="str">
        <f t="shared" si="0"/>
        <v>×</v>
      </c>
      <c r="U47" s="22">
        <f t="shared" si="4"/>
        <v>0</v>
      </c>
    </row>
    <row r="48" spans="5:21" s="22" customFormat="1">
      <c r="F48" s="22">
        <v>5</v>
      </c>
      <c r="G48" s="22">
        <f>'1'!C73</f>
        <v>0</v>
      </c>
      <c r="K48" s="22">
        <v>5</v>
      </c>
      <c r="L48" s="22" t="s">
        <v>99</v>
      </c>
      <c r="Q48" s="22" t="str">
        <f t="shared" si="0"/>
        <v>×</v>
      </c>
      <c r="U48" s="22">
        <f t="shared" si="4"/>
        <v>0</v>
      </c>
    </row>
    <row r="54" spans="17:21" s="22" customFormat="1">
      <c r="Q54" s="22" t="s">
        <v>28</v>
      </c>
      <c r="U54" s="22">
        <f>SUM(U8:U53)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R46"/>
  <sheetViews>
    <sheetView topLeftCell="A10" zoomScale="85" zoomScaleNormal="85" workbookViewId="0">
      <selection activeCell="O38" sqref="O38"/>
    </sheetView>
  </sheetViews>
  <sheetFormatPr defaultRowHeight="13.5"/>
  <cols>
    <col min="4" max="4" width="25.75" customWidth="1"/>
  </cols>
  <sheetData>
    <row r="3" spans="3:11">
      <c r="K3" t="s">
        <v>28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16</v>
      </c>
      <c r="D6">
        <f>'2'!C5</f>
        <v>0</v>
      </c>
      <c r="I6" t="s">
        <v>17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28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18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8">
      <c r="J17">
        <v>5</v>
      </c>
      <c r="K17" t="str">
        <f>'2'!Q19</f>
        <v>×</v>
      </c>
    </row>
    <row r="20" spans="9:18">
      <c r="I20" t="s">
        <v>19</v>
      </c>
      <c r="J20">
        <v>1</v>
      </c>
      <c r="K20" t="str">
        <f>'2'!Q22</f>
        <v>×</v>
      </c>
    </row>
    <row r="21" spans="9:18">
      <c r="I21" s="21">
        <v>0.1</v>
      </c>
      <c r="J21">
        <v>2</v>
      </c>
      <c r="K21" t="str">
        <f>'2'!Q23</f>
        <v>×</v>
      </c>
    </row>
    <row r="22" spans="9:18">
      <c r="J22">
        <v>3</v>
      </c>
      <c r="K22" t="str">
        <f>'2'!Q24</f>
        <v>×</v>
      </c>
    </row>
    <row r="23" spans="9:18">
      <c r="J23">
        <v>4</v>
      </c>
      <c r="K23" t="str">
        <f>'2'!Q25</f>
        <v>×</v>
      </c>
    </row>
    <row r="24" spans="9:18">
      <c r="J24">
        <v>5</v>
      </c>
      <c r="K24" t="str">
        <f>'2'!Q26</f>
        <v>×</v>
      </c>
    </row>
    <row r="26" spans="9:18">
      <c r="M26" t="s">
        <v>93</v>
      </c>
    </row>
    <row r="27" spans="9:18">
      <c r="I27" t="s">
        <v>20</v>
      </c>
      <c r="J27">
        <v>1</v>
      </c>
      <c r="K27" t="str">
        <f>'2'!Q29</f>
        <v>×</v>
      </c>
      <c r="M27">
        <f>IF(AND(K27="〇",K28="〇",K29="〇",K30="〇",K31="〇")=TRUE,'2'!M29,0)</f>
        <v>0</v>
      </c>
    </row>
    <row r="28" spans="9:18">
      <c r="I28" s="21">
        <v>0.2</v>
      </c>
      <c r="J28">
        <v>2</v>
      </c>
      <c r="K28" t="str">
        <f>'2'!Q30</f>
        <v>×</v>
      </c>
      <c r="M28">
        <f>IF(AND(K27="〇",K28="〇",K29="〇",K30="〇",K31="〇")=TRUE,'2'!M30,0)</f>
        <v>0</v>
      </c>
    </row>
    <row r="29" spans="9:18">
      <c r="J29">
        <v>3</v>
      </c>
      <c r="K29" t="str">
        <f>'2'!Q31</f>
        <v>×</v>
      </c>
      <c r="M29">
        <f>IF(AND(K27="〇",K28="〇",K29="〇",K30="〇",K31="〇")=TRUE,'2'!M31,0)</f>
        <v>0</v>
      </c>
    </row>
    <row r="30" spans="9:18">
      <c r="J30">
        <v>4</v>
      </c>
      <c r="K30" t="str">
        <f>'2'!Q32</f>
        <v>×</v>
      </c>
      <c r="M30">
        <f>IF(AND(K27="〇",K28="〇",K29="〇",K30="〇",K31="〇")=TRUE,'2'!M32,0)</f>
        <v>0</v>
      </c>
    </row>
    <row r="31" spans="9:18">
      <c r="J31">
        <v>5</v>
      </c>
      <c r="K31" t="str">
        <f>'2'!Q33</f>
        <v>×</v>
      </c>
      <c r="M31">
        <f>IF(AND(K27="〇",K28="〇",K29="〇",K30="〇",K31="〇")=TRUE,'2'!M33,0)</f>
        <v>0</v>
      </c>
      <c r="R31" t="s">
        <v>91</v>
      </c>
    </row>
    <row r="34" spans="9:11">
      <c r="I34" t="s">
        <v>21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29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2EF62-C689-4D09-A795-CF326B9AD991}"/>
</file>

<file path=customXml/itemProps2.xml><?xml version="1.0" encoding="utf-8"?>
<ds:datastoreItem xmlns:ds="http://schemas.openxmlformats.org/officeDocument/2006/customXml" ds:itemID="{14D28022-DA37-478F-8A73-6E19DC75057C}"/>
</file>

<file path=customXml/itemProps3.xml><?xml version="1.0" encoding="utf-8"?>
<ds:datastoreItem xmlns:ds="http://schemas.openxmlformats.org/officeDocument/2006/customXml" ds:itemID="{4ED31880-A018-403C-93AA-53A7D2FC0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