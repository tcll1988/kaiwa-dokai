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45621"/>
</workbook>
</file>

<file path=xl/calcChain.xml><?xml version="1.0" encoding="utf-8"?>
<calcChain xmlns="http://schemas.openxmlformats.org/spreadsheetml/2006/main">
  <c r="H5" i="3"/>
  <c r="H6"/>
  <c r="H7"/>
  <c r="H8"/>
  <c r="H11"/>
  <c r="H12"/>
  <c r="H13"/>
  <c r="H14"/>
  <c r="H18"/>
  <c r="H19"/>
  <c r="H20"/>
  <c r="H21"/>
  <c r="H22"/>
  <c r="H23"/>
  <c r="H24"/>
  <c r="H25"/>
  <c r="H28"/>
  <c r="H29"/>
  <c r="H30"/>
  <c r="H31"/>
  <c r="H32"/>
  <c r="H35"/>
  <c r="H36"/>
  <c r="H37"/>
  <c r="H38"/>
  <c r="H39"/>
  <c r="C4"/>
  <c r="C3"/>
  <c r="C2"/>
  <c r="C38" i="4" l="1"/>
  <c r="G38" s="1"/>
  <c r="C37"/>
  <c r="G37" s="1"/>
  <c r="C36"/>
  <c r="G36" s="1"/>
  <c r="C35"/>
  <c r="G35" s="1"/>
  <c r="C34"/>
  <c r="G34" s="1"/>
  <c r="C31"/>
  <c r="G31" s="1"/>
  <c r="C30"/>
  <c r="G30" s="1"/>
  <c r="C29"/>
  <c r="G29" s="1"/>
  <c r="C28"/>
  <c r="G28" s="1"/>
  <c r="C27"/>
  <c r="G27" s="1"/>
  <c r="C24"/>
  <c r="G24" s="1"/>
  <c r="C23"/>
  <c r="G23" s="1"/>
  <c r="C22"/>
  <c r="G22" s="1"/>
  <c r="C21"/>
  <c r="C20"/>
  <c r="G20" s="1"/>
  <c r="C19"/>
  <c r="G19" s="1"/>
  <c r="C18"/>
  <c r="C17"/>
  <c r="G17" s="1"/>
  <c r="C14"/>
  <c r="C13"/>
  <c r="G13" s="1"/>
  <c r="C12"/>
  <c r="G12" s="1"/>
  <c r="C11"/>
  <c r="C10"/>
  <c r="C7"/>
  <c r="G7" s="1"/>
  <c r="C6"/>
  <c r="G6" s="1"/>
  <c r="C5"/>
  <c r="G5" s="1"/>
  <c r="C4"/>
  <c r="G4" s="1"/>
  <c r="C3"/>
  <c r="G10"/>
  <c r="G11"/>
  <c r="G18"/>
  <c r="G21"/>
  <c r="G14" l="1"/>
  <c r="H15" i="3"/>
  <c r="G3" i="4"/>
  <c r="H4" i="3"/>
  <c r="G46" i="4"/>
  <c r="E6" i="3" s="1"/>
</calcChain>
</file>

<file path=xl/sharedStrings.xml><?xml version="1.0" encoding="utf-8"?>
<sst xmlns="http://schemas.openxmlformats.org/spreadsheetml/2006/main" count="153" uniqueCount="112">
  <si>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</si>
  <si>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</si>
  <si>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</si>
  <si>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①</t>
  </si>
  <si>
    <t>②</t>
  </si>
  <si>
    <t>⑤</t>
  </si>
  <si>
    <t>問題2 日本語の意味として正しい中国語を1)～4)の中から1つ選びなさい。</t>
    <rPh sb="0" eb="2">
      <t>モンダイ</t>
    </rPh>
    <phoneticPr fontId="1"/>
  </si>
  <si>
    <t>問題3 次の日本語の意味に従って、言葉を並べ替えなさい。</t>
    <rPh sb="0" eb="2">
      <t>モンダイ</t>
    </rPh>
    <phoneticPr fontId="1"/>
  </si>
  <si>
    <t>⑥</t>
  </si>
  <si>
    <t>⑦</t>
  </si>
  <si>
    <t>⑧</t>
  </si>
  <si>
    <t>問題4 下の中国語の誤りを訂正しなさい。</t>
    <rPh sb="0" eb="2">
      <t>モンダイ</t>
    </rPh>
    <phoneticPr fontId="1"/>
  </si>
  <si>
    <t>我家有几口人？</t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</si>
  <si>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</si>
  <si>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問題1穴埋め問題の回答として、正しい中国語を1)～4)の中から1つ選びなさい。</t>
    <rPh sb="0" eb="2">
      <t>モンダイ</t>
    </rPh>
    <phoneticPr fontId="1"/>
  </si>
  <si>
    <t>合計</t>
    <phoneticPr fontId="11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</si>
  <si>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</si>
  <si>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</si>
  <si>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</si>
  <si>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</si>
  <si>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1" type="noConversion"/>
  </si>
  <si>
    <t>正解</t>
    <phoneticPr fontId="11" type="noConversion"/>
  </si>
  <si>
    <t>回答</t>
    <phoneticPr fontId="11" type="noConversion"/>
  </si>
  <si>
    <t>成績</t>
    <phoneticPr fontId="11" type="noConversion"/>
  </si>
  <si>
    <t>問5　</t>
    <rPh sb="0" eb="1">
      <t>モン</t>
    </rPh>
    <phoneticPr fontId="1"/>
  </si>
  <si>
    <t>読解第13課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</si>
  <si>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</si>
  <si>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①</t>
    <phoneticPr fontId="1"/>
  </si>
  <si>
    <t>这是我昨天买</t>
  </si>
  <si>
    <t>书。</t>
  </si>
  <si>
    <t>1) 的  2) 得  3) 地  4) 把</t>
  </si>
  <si>
    <t>②</t>
    <phoneticPr fontId="1"/>
  </si>
  <si>
    <t>我</t>
  </si>
  <si>
    <t>那本书给小王了。</t>
  </si>
  <si>
    <t>③</t>
    <phoneticPr fontId="1"/>
  </si>
  <si>
    <t>请慢慢</t>
  </si>
  <si>
    <t>走，好吗？</t>
  </si>
  <si>
    <t>④</t>
    <phoneticPr fontId="1"/>
  </si>
  <si>
    <t>铃木的中文学</t>
  </si>
  <si>
    <t>非常好。</t>
  </si>
  <si>
    <t>⑤</t>
    <phoneticPr fontId="1"/>
  </si>
  <si>
    <t>你应该更加努力</t>
  </si>
  <si>
    <t>学习。</t>
  </si>
  <si>
    <t>彼はどうしてもご飯を作りたくないのだ。</t>
  </si>
  <si>
    <t>1) 他就是做饭不愿意。  2) 他不愿意就是做饭。</t>
  </si>
  <si>
    <t>3) 他不就是愿意做饭。  4) 他就是不愿意做饭。</t>
  </si>
  <si>
    <t>やっと宿題を完成させた。</t>
  </si>
  <si>
    <t>1) 把作业终于写完了。  2) 终于作业把写完了。</t>
  </si>
  <si>
    <t>3) 终于把作业写完了。  4) 终于写完了把作业。</t>
  </si>
  <si>
    <t>服や本などはいたるところに散らかっている。</t>
  </si>
  <si>
    <t>1) 到处扔衣服和书等。 2) 衣服和书到处扔等。</t>
  </si>
  <si>
    <t>3) 衣服和书等扔到处。 4) 衣服和书等到处扔。</t>
  </si>
  <si>
    <t>彼女は友達を助けるのが好きだ。</t>
  </si>
  <si>
    <t>1) 她很愿意帮助朋友。  2) 她很愿意朋友帮助。</t>
  </si>
  <si>
    <t>3) 她愿意很帮助朋友。  4) 朋友很愿意帮助她。</t>
  </si>
  <si>
    <t>彼は絶対に机を拭かない。</t>
  </si>
  <si>
    <t>1) 他从来都不擦桌子。  2) 他都从来不擦桌子。</t>
  </si>
  <si>
    <t>3) 他不擦桌子从来都。　4) 他从来不擦桌子都。</t>
    <phoneticPr fontId="1"/>
  </si>
  <si>
    <t>ずっと午後４時までやってやっと部屋を片付けた。</t>
  </si>
  <si>
    <t>终于 下午四点 干到 完 收拾 把屋子 一直 了</t>
  </si>
  <si>
    <t>皆は彼女と友達になりたいが、ただ私の家へどうしても来たくはない。</t>
    <phoneticPr fontId="1"/>
  </si>
  <si>
    <t>都愿意 不愿意 交朋友 来 就是 大家 和她 我家</t>
  </si>
  <si>
    <t>今朝彼女は起きると、すぐ部屋を片付け始めた。</t>
  </si>
  <si>
    <t>今天 起床 一 打扫 房间 就开始 早上 她</t>
  </si>
  <si>
    <t>絶対に机を拭かないし、また床も拭かない。</t>
  </si>
  <si>
    <t>从来 从来 不擦 不擦 也 桌子 地</t>
  </si>
  <si>
    <t>ついに自分の机をきれいに拭いた。</t>
  </si>
  <si>
    <t>桌子 干净 自己 擦 把 终于 的 了</t>
  </si>
  <si>
    <t>私はすでに宿題をすませた。</t>
  </si>
  <si>
    <t>完 已经 了 把 我 作业 写</t>
  </si>
  <si>
    <t>妹の部屋はこんなにきれいになったことはない。</t>
  </si>
  <si>
    <t>屋子 干净 没有 妹妹 从来 这么 的 过</t>
  </si>
  <si>
    <t>私はどうしても今日の試合に勝ちたい。</t>
  </si>
  <si>
    <t>想 比赛 的 赢 我 今天 就是</t>
  </si>
  <si>
    <t>我把作业写了。</t>
  </si>
  <si>
    <t>我从来没有去中国。</t>
  </si>
  <si>
    <t>妈妈把屋子收拾的很干净。</t>
  </si>
  <si>
    <t>下了课，同学们高兴高兴得回家了。</t>
  </si>
  <si>
    <t>昨天晚上做作业一直做夜里两点。</t>
  </si>
  <si>
    <t>　　我只有一个妹妹，没有哥哥、姐姐，也没有弟弟。白天爸爸和妈妈
都去上班，我和妹妹有时去学校，有时在家里。我妹妹哪儿都好，就是
早上不爱起床，也不爱收拾屋子。
　　可是，昨天早上六点她就起床了，比平时早了四个小时。一起床她
就开始收拾屋子，而且也不休息，一直干到下午两点，把屋子收拾得干
干净净。以前她从来没收拾过屋子，我问她为什么，她不告诉我，只是
笑。现在我知道了，她的男朋友今天来我家了。</t>
    <phoneticPr fontId="1"/>
  </si>
  <si>
    <t>1) 三口  2) 四口</t>
  </si>
  <si>
    <t>3) 五口  4) 六口</t>
  </si>
  <si>
    <t>妹妹平时早上最可能几点起床？</t>
  </si>
  <si>
    <t>1) 六点  2) 七点</t>
  </si>
  <si>
    <t>3) 十点  4) 十二点</t>
  </si>
  <si>
    <t>妹妹以前收拾过房间吗？</t>
  </si>
  <si>
    <t>1) 没收拾过  2) 收拾过一次</t>
  </si>
  <si>
    <t>3) 收拾过两次 4) 不知道</t>
  </si>
  <si>
    <t>妹妹最可能多大了？</t>
  </si>
  <si>
    <t xml:space="preserve">1) 10 岁  2) 14 岁 </t>
  </si>
  <si>
    <t>3) 19 岁  4) 不知道</t>
  </si>
  <si>
    <t>昨天妹妹收拾屋子收拾了几个小时？</t>
  </si>
  <si>
    <t>1) 六个小时  2) 八个小时</t>
  </si>
  <si>
    <t>3) 十个小时  4) 十二个小时</t>
  </si>
  <si>
    <t>一直干到下午四点，终于把屋子收拾完了。</t>
    <phoneticPr fontId="11" type="noConversion"/>
  </si>
  <si>
    <t>大家都愿意和她交朋友，就是不愿意来我家。</t>
    <phoneticPr fontId="11" type="noConversion"/>
  </si>
  <si>
    <t>今天早上她一起床就开始打扫房间。</t>
    <phoneticPr fontId="11" type="noConversion"/>
  </si>
  <si>
    <t>她今天早上一起床就开始打扫房间。</t>
    <phoneticPr fontId="11" type="noConversion"/>
  </si>
  <si>
    <t>从来不擦桌子，也从来不擦地。</t>
    <phoneticPr fontId="11" type="noConversion"/>
  </si>
  <si>
    <t>终于把自己的桌子擦干净了。</t>
    <phoneticPr fontId="11" type="noConversion"/>
  </si>
  <si>
    <t>我已经把作业写完了。</t>
    <phoneticPr fontId="11" type="noConversion"/>
  </si>
  <si>
    <t>妹妹的屋子从来没有这么干净过。</t>
    <phoneticPr fontId="11" type="noConversion"/>
  </si>
  <si>
    <t>今天的比赛我就是想赢。</t>
    <phoneticPr fontId="11" type="noConversion"/>
  </si>
  <si>
    <t>我就是想赢今天的比赛。</t>
    <phoneticPr fontId="11" type="noConversion"/>
  </si>
  <si>
    <t>我把作业写完了。</t>
    <phoneticPr fontId="11" type="noConversion"/>
  </si>
  <si>
    <t>我从来没有去过中国。</t>
    <phoneticPr fontId="11" type="noConversion"/>
  </si>
  <si>
    <t>妈妈把屋子收拾得很干净。</t>
    <phoneticPr fontId="11" type="noConversion"/>
  </si>
  <si>
    <t>下了课，同学们高高兴兴地回家了。</t>
    <phoneticPr fontId="11" type="noConversion"/>
  </si>
  <si>
    <t>昨天晚上做作业一直做到夜里两点。</t>
    <phoneticPr fontId="11" type="noConversion"/>
  </si>
  <si>
    <t>日付</t>
    <phoneticPr fontId="11" type="noConversion"/>
  </si>
  <si>
    <t>学籍番号</t>
    <phoneticPr fontId="11" type="noConversion"/>
  </si>
  <si>
    <t>名前</t>
    <phoneticPr fontId="11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</si>
</sst>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0" applyFont="1" applyAlignment="1"/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1" applyFont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13" fillId="0" borderId="0" xfId="0" applyFont="1" applyAlignment="1"/>
    <xf numFmtId="0" fontId="13" fillId="0" borderId="0" xfId="0" applyFont="1"/>
    <xf numFmtId="0" fontId="14" fillId="2" borderId="0" xfId="0" applyFont="1" applyFill="1"/>
    <xf numFmtId="0" fontId="10" fillId="0" borderId="0" xfId="0" applyFont="1" applyAlignment="1"/>
    <xf numFmtId="0" fontId="15" fillId="2" borderId="0" xfId="0" applyFont="1" applyFill="1"/>
    <xf numFmtId="9" fontId="0" fillId="0" borderId="0" xfId="0" applyNumberForma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3" borderId="0" xfId="0" applyFill="1" applyAlignment="1"/>
    <xf numFmtId="0" fontId="0" fillId="3" borderId="0" xfId="0" applyFill="1"/>
    <xf numFmtId="0" fontId="13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</cellXfs>
  <cellStyles count="2">
    <cellStyle name="ハイパーリンク" xfId="1" builtinId="8"/>
    <cellStyle name="標準" xfId="0" builtinId="0"/>
  </cellStyles>
  <dxfs count="3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Y139"/>
  <sheetViews>
    <sheetView tabSelected="1" topLeftCell="A79" zoomScale="130" zoomScaleNormal="130" workbookViewId="0">
      <selection activeCell="H91" sqref="H91"/>
    </sheetView>
  </sheetViews>
  <sheetFormatPr defaultRowHeight="14.25"/>
  <cols>
    <col min="1" max="1" width="1.875" style="9" customWidth="1"/>
    <col min="2" max="31" width="2.625" style="9" customWidth="1"/>
  </cols>
  <sheetData>
    <row r="1" spans="1:77">
      <c r="A1"/>
      <c r="B1" s="5" t="s">
        <v>25</v>
      </c>
      <c r="C1" s="5"/>
      <c r="D1" s="5"/>
      <c r="E1" s="5"/>
      <c r="F1" s="5"/>
      <c r="G1" s="5"/>
      <c r="H1" s="5"/>
      <c r="I1" s="5"/>
      <c r="J1" s="36" t="s">
        <v>2</v>
      </c>
      <c r="K1" s="36"/>
      <c r="L1" s="37"/>
      <c r="M1" s="37"/>
      <c r="N1" s="39"/>
      <c r="O1" s="39"/>
      <c r="P1" s="39"/>
      <c r="Q1" s="39"/>
      <c r="R1" s="39"/>
      <c r="S1" s="39"/>
      <c r="T1" s="39"/>
      <c r="U1" s="5"/>
    </row>
    <row r="2" spans="1:77" ht="19.5" customHeight="1">
      <c r="A2"/>
      <c r="B2" s="34" t="s">
        <v>0</v>
      </c>
      <c r="C2" s="34"/>
      <c r="D2" s="34"/>
      <c r="E2" s="38"/>
      <c r="F2" s="38"/>
      <c r="G2" s="38"/>
      <c r="H2" s="38"/>
      <c r="I2" s="38"/>
      <c r="J2" s="38"/>
      <c r="K2" s="5"/>
      <c r="L2" s="21" t="s">
        <v>1</v>
      </c>
      <c r="M2" s="5"/>
      <c r="N2" s="38"/>
      <c r="O2" s="38"/>
      <c r="P2" s="38"/>
      <c r="Q2" s="38"/>
      <c r="R2" s="38"/>
      <c r="S2" s="38"/>
      <c r="T2" s="38"/>
      <c r="U2" s="38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</row>
    <row r="3" spans="1:77" ht="18" customHeight="1">
      <c r="A3"/>
      <c r="B3" s="10" t="s">
        <v>14</v>
      </c>
      <c r="C3" s="11"/>
      <c r="D3" s="11"/>
      <c r="E3" s="22"/>
      <c r="F3" s="22"/>
      <c r="G3" s="22"/>
      <c r="H3" s="22"/>
      <c r="I3" s="22"/>
      <c r="J3" s="22"/>
      <c r="L3" s="11"/>
      <c r="N3" s="22"/>
      <c r="O3" s="22"/>
      <c r="P3" s="22"/>
      <c r="Q3" s="22"/>
      <c r="R3" s="22"/>
      <c r="S3" s="22"/>
      <c r="T3" s="22"/>
      <c r="U3" s="22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</row>
    <row r="4" spans="1:77" ht="13.5" customHeight="1">
      <c r="A4"/>
      <c r="B4" s="12"/>
      <c r="C4" s="13" t="s">
        <v>26</v>
      </c>
      <c r="E4" s="40"/>
      <c r="F4" s="40"/>
      <c r="H4" s="10" t="s">
        <v>27</v>
      </c>
      <c r="I4" s="4" t="s">
        <v>28</v>
      </c>
      <c r="J4" s="4"/>
      <c r="K4" s="4"/>
      <c r="L4" s="4"/>
      <c r="M4" s="4"/>
      <c r="N4" s="14"/>
      <c r="O4" s="14"/>
      <c r="P4" s="14"/>
      <c r="Q4" s="4" t="s">
        <v>29</v>
      </c>
      <c r="R4" s="4"/>
      <c r="S4" s="4"/>
      <c r="T4" s="4"/>
      <c r="U4" s="4"/>
      <c r="V4" s="4"/>
      <c r="W4" s="4"/>
      <c r="X4" s="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</row>
    <row r="5" spans="1:77" ht="13.5" customHeight="1">
      <c r="A5"/>
      <c r="B5" s="12"/>
      <c r="C5" s="12"/>
      <c r="D5" s="3"/>
      <c r="H5" s="3"/>
      <c r="I5" s="4" t="s">
        <v>30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2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</row>
    <row r="6" spans="1:77" ht="13.5" customHeight="1">
      <c r="A6"/>
      <c r="B6" s="12"/>
      <c r="C6" s="13" t="s">
        <v>26</v>
      </c>
      <c r="E6" s="40"/>
      <c r="F6" s="40"/>
      <c r="H6" s="10" t="s">
        <v>31</v>
      </c>
      <c r="I6" s="4" t="s">
        <v>32</v>
      </c>
      <c r="J6" s="35"/>
      <c r="K6" s="35"/>
      <c r="L6" s="35"/>
      <c r="M6" s="4" t="s">
        <v>33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</row>
    <row r="7" spans="1:77" ht="13.5" customHeight="1">
      <c r="A7"/>
      <c r="B7" s="12"/>
      <c r="C7" s="12"/>
      <c r="H7" s="3"/>
      <c r="I7" s="4" t="s">
        <v>30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</row>
    <row r="8" spans="1:77" ht="13.5" customHeight="1">
      <c r="A8"/>
      <c r="B8" s="12"/>
      <c r="C8" s="13" t="s">
        <v>26</v>
      </c>
      <c r="E8" s="40"/>
      <c r="F8" s="40"/>
      <c r="H8" s="10" t="s">
        <v>34</v>
      </c>
      <c r="I8" s="4" t="s">
        <v>35</v>
      </c>
      <c r="J8" s="4"/>
      <c r="K8" s="4"/>
      <c r="L8" s="35"/>
      <c r="M8" s="35"/>
      <c r="N8" s="35"/>
      <c r="O8" s="4" t="s">
        <v>36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</row>
    <row r="9" spans="1:77" ht="13.5" customHeight="1">
      <c r="A9"/>
      <c r="B9" s="12"/>
      <c r="C9" s="12"/>
      <c r="D9" s="15"/>
      <c r="H9" s="3"/>
      <c r="I9" s="4" t="s">
        <v>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</row>
    <row r="10" spans="1:77" ht="13.5" customHeight="1">
      <c r="A10"/>
      <c r="B10" s="12"/>
      <c r="C10" s="13" t="s">
        <v>26</v>
      </c>
      <c r="E10" s="40"/>
      <c r="F10" s="40"/>
      <c r="H10" s="10" t="s">
        <v>37</v>
      </c>
      <c r="I10" s="4" t="s">
        <v>38</v>
      </c>
      <c r="J10" s="4"/>
      <c r="K10" s="4"/>
      <c r="L10" s="4"/>
      <c r="M10" s="4"/>
      <c r="N10" s="14"/>
      <c r="O10" s="14"/>
      <c r="P10" s="14"/>
      <c r="Q10" s="4" t="s">
        <v>39</v>
      </c>
      <c r="R10" s="4"/>
      <c r="S10" s="4"/>
      <c r="T10" s="4"/>
      <c r="U10" s="4"/>
      <c r="V10" s="4"/>
      <c r="W10" s="4"/>
      <c r="X10" s="4"/>
      <c r="Y10" s="4"/>
      <c r="Z10" s="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</row>
    <row r="11" spans="1:77" ht="13.5" customHeight="1">
      <c r="A11"/>
      <c r="B11" s="12"/>
      <c r="C11" s="12"/>
      <c r="D11" s="15"/>
      <c r="H11" s="3"/>
      <c r="I11" s="4" t="s">
        <v>30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</row>
    <row r="12" spans="1:77" ht="13.5" customHeight="1">
      <c r="A12"/>
      <c r="B12" s="12"/>
      <c r="C12" s="13" t="s">
        <v>26</v>
      </c>
      <c r="E12" s="40"/>
      <c r="F12" s="40"/>
      <c r="H12" s="10" t="s">
        <v>40</v>
      </c>
      <c r="I12" s="4" t="s">
        <v>41</v>
      </c>
      <c r="J12" s="4"/>
      <c r="K12" s="4"/>
      <c r="L12" s="4"/>
      <c r="M12" s="4"/>
      <c r="N12" s="4"/>
      <c r="O12" s="35"/>
      <c r="P12" s="35"/>
      <c r="Q12" s="35"/>
      <c r="R12" s="4" t="s">
        <v>42</v>
      </c>
      <c r="S12" s="4"/>
      <c r="T12" s="4"/>
      <c r="U12" s="4"/>
      <c r="V12" s="4"/>
      <c r="W12" s="4"/>
      <c r="X12" s="4"/>
      <c r="Y12" s="4"/>
      <c r="Z12" s="4"/>
      <c r="AA12" s="31"/>
      <c r="AB12" s="31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</row>
    <row r="13" spans="1:77" ht="13.5" customHeight="1">
      <c r="A13"/>
      <c r="B13" s="12"/>
      <c r="C13" s="12"/>
      <c r="D13" s="11"/>
      <c r="H13" s="3"/>
      <c r="I13" s="4" t="s">
        <v>30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2"/>
      <c r="AA13" s="16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</row>
    <row r="14" spans="1:77" ht="13.5" customHeight="1">
      <c r="A14"/>
      <c r="B14" s="10" t="s">
        <v>6</v>
      </c>
      <c r="C14" s="23"/>
      <c r="D14" s="23"/>
      <c r="E14" s="11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</row>
    <row r="15" spans="1:77" ht="13.5" customHeight="1">
      <c r="A15"/>
      <c r="B15" s="12"/>
      <c r="C15" s="13" t="s">
        <v>26</v>
      </c>
      <c r="E15" s="40"/>
      <c r="F15" s="40"/>
      <c r="H15" s="10" t="s">
        <v>27</v>
      </c>
      <c r="I15" s="5" t="s">
        <v>43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</row>
    <row r="16" spans="1:77" ht="13.5" customHeight="1">
      <c r="A16"/>
      <c r="B16" s="12"/>
      <c r="C16" s="12"/>
      <c r="D16" s="23"/>
      <c r="I16" s="1" t="s">
        <v>44</v>
      </c>
      <c r="J16" s="6"/>
      <c r="K16" s="8"/>
      <c r="L16" s="8"/>
      <c r="M16" s="8"/>
      <c r="N16" s="8"/>
      <c r="O16" s="8"/>
      <c r="P16" s="8"/>
      <c r="Q16" s="8"/>
      <c r="R16" s="8"/>
      <c r="S16" s="8"/>
      <c r="T16" s="6"/>
      <c r="U16" s="8"/>
      <c r="V16" s="8"/>
      <c r="W16" s="8"/>
      <c r="X16" s="8"/>
      <c r="Y16" s="8"/>
      <c r="Z16" s="8"/>
      <c r="AA16" s="8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</row>
    <row r="17" spans="1:77" ht="13.5" customHeight="1">
      <c r="B17" s="12"/>
      <c r="C17" s="12"/>
      <c r="D17" s="23"/>
      <c r="I17" s="1" t="s">
        <v>45</v>
      </c>
      <c r="J17" s="6"/>
      <c r="K17" s="7"/>
      <c r="L17" s="8"/>
      <c r="M17" s="8"/>
      <c r="N17" s="8"/>
      <c r="O17" s="8"/>
      <c r="P17" s="8"/>
      <c r="Q17" s="8"/>
      <c r="R17" s="8"/>
      <c r="S17" s="8"/>
      <c r="T17" s="6"/>
      <c r="U17" s="8"/>
      <c r="V17" s="8"/>
      <c r="W17" s="8"/>
      <c r="X17" s="8"/>
      <c r="Y17" s="8"/>
      <c r="Z17" s="8"/>
      <c r="AA17" s="8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</row>
    <row r="18" spans="1:77" ht="13.5" customHeight="1">
      <c r="B18" s="12"/>
      <c r="C18" s="13" t="s">
        <v>26</v>
      </c>
      <c r="E18" s="40"/>
      <c r="F18" s="40"/>
      <c r="H18" s="10" t="s">
        <v>31</v>
      </c>
      <c r="I18" s="5" t="s">
        <v>46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</row>
    <row r="19" spans="1:77" ht="13.5" customHeight="1">
      <c r="B19" s="12"/>
      <c r="C19" s="12"/>
      <c r="D19" s="23"/>
      <c r="I19" s="1" t="s">
        <v>47</v>
      </c>
      <c r="J19" s="6"/>
      <c r="K19" s="8"/>
      <c r="L19" s="8"/>
      <c r="M19" s="8"/>
      <c r="N19" s="8"/>
      <c r="O19" s="8"/>
      <c r="P19" s="8"/>
      <c r="Q19" s="8"/>
      <c r="R19" s="8"/>
      <c r="S19" s="8"/>
      <c r="T19" s="6"/>
      <c r="U19" s="8"/>
      <c r="V19" s="8"/>
      <c r="W19" s="8"/>
      <c r="X19" s="8"/>
      <c r="Y19" s="8"/>
      <c r="Z19" s="8"/>
      <c r="AA19" s="8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</row>
    <row r="20" spans="1:77" ht="13.5" customHeight="1">
      <c r="B20" s="12"/>
      <c r="C20" s="12"/>
      <c r="D20" s="23"/>
      <c r="I20" s="1" t="s">
        <v>48</v>
      </c>
      <c r="J20" s="6"/>
      <c r="K20" s="7"/>
      <c r="L20" s="8"/>
      <c r="M20" s="8"/>
      <c r="N20" s="8"/>
      <c r="O20" s="8"/>
      <c r="P20" s="8"/>
      <c r="Q20" s="8"/>
      <c r="R20" s="8"/>
      <c r="S20" s="8"/>
      <c r="T20" s="6"/>
      <c r="U20" s="8"/>
      <c r="V20" s="8"/>
      <c r="W20" s="8"/>
      <c r="X20" s="8"/>
      <c r="Y20" s="8"/>
      <c r="Z20" s="8"/>
      <c r="AA20" s="8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</row>
    <row r="21" spans="1:77" ht="13.5" customHeight="1">
      <c r="B21" s="12"/>
      <c r="C21" s="13" t="s">
        <v>26</v>
      </c>
      <c r="E21" s="40"/>
      <c r="F21" s="40"/>
      <c r="H21" s="10" t="s">
        <v>34</v>
      </c>
      <c r="I21" s="5" t="s">
        <v>49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</row>
    <row r="22" spans="1:77" ht="13.5" customHeight="1">
      <c r="B22" s="12"/>
      <c r="C22" s="12"/>
      <c r="D22" s="23"/>
      <c r="I22" s="1" t="s">
        <v>50</v>
      </c>
      <c r="J22" s="6"/>
      <c r="K22" s="8"/>
      <c r="L22" s="8"/>
      <c r="M22" s="8"/>
      <c r="N22" s="8"/>
      <c r="O22" s="8"/>
      <c r="P22" s="8"/>
      <c r="Q22" s="8"/>
      <c r="R22" s="8"/>
      <c r="S22" s="8"/>
      <c r="T22" s="6"/>
      <c r="U22" s="8"/>
      <c r="V22" s="8"/>
      <c r="W22" s="8"/>
      <c r="X22" s="8"/>
      <c r="Y22" s="8"/>
      <c r="Z22" s="8"/>
      <c r="AA22" s="8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</row>
    <row r="23" spans="1:77" ht="13.5" customHeight="1">
      <c r="B23" s="12"/>
      <c r="C23" s="12"/>
      <c r="D23" s="23"/>
      <c r="I23" s="1" t="s">
        <v>51</v>
      </c>
      <c r="J23" s="6"/>
      <c r="K23" s="7"/>
      <c r="L23" s="8"/>
      <c r="M23" s="8"/>
      <c r="N23" s="8"/>
      <c r="O23" s="8"/>
      <c r="P23" s="8"/>
      <c r="Q23" s="8"/>
      <c r="R23" s="8"/>
      <c r="S23" s="8"/>
      <c r="T23" s="6"/>
      <c r="U23" s="8"/>
      <c r="V23" s="8"/>
      <c r="W23" s="8"/>
      <c r="X23" s="8"/>
      <c r="Y23" s="8"/>
      <c r="Z23" s="8"/>
      <c r="AA23" s="8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</row>
    <row r="24" spans="1:77" ht="13.5" customHeight="1">
      <c r="B24" s="12"/>
      <c r="C24" s="13" t="s">
        <v>26</v>
      </c>
      <c r="E24" s="40"/>
      <c r="F24" s="40"/>
      <c r="H24" s="10" t="s">
        <v>37</v>
      </c>
      <c r="I24" s="5" t="s">
        <v>52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</row>
    <row r="25" spans="1:77" ht="13.5" customHeight="1">
      <c r="B25" s="12"/>
      <c r="C25" s="12"/>
      <c r="D25" s="23"/>
      <c r="I25" s="1" t="s">
        <v>53</v>
      </c>
      <c r="J25" s="6"/>
      <c r="K25" s="8"/>
      <c r="L25" s="8"/>
      <c r="M25" s="8"/>
      <c r="N25" s="8"/>
      <c r="O25" s="8"/>
      <c r="P25" s="8"/>
      <c r="Q25" s="8"/>
      <c r="R25" s="8"/>
      <c r="S25" s="8"/>
      <c r="T25" s="6"/>
      <c r="U25" s="8"/>
      <c r="V25" s="8"/>
      <c r="W25" s="8"/>
      <c r="X25" s="8"/>
      <c r="Y25" s="8"/>
      <c r="Z25" s="8"/>
      <c r="AA25" s="8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</row>
    <row r="26" spans="1:77" ht="13.5" customHeight="1">
      <c r="B26" s="12"/>
      <c r="C26" s="12"/>
      <c r="D26" s="23"/>
      <c r="I26" s="1" t="s">
        <v>54</v>
      </c>
      <c r="J26" s="6"/>
      <c r="K26" s="7"/>
      <c r="L26" s="8"/>
      <c r="M26" s="8"/>
      <c r="N26" s="8"/>
      <c r="O26" s="8"/>
      <c r="P26" s="8"/>
      <c r="Q26" s="8"/>
      <c r="R26" s="8"/>
      <c r="S26" s="8"/>
      <c r="T26" s="6"/>
      <c r="U26" s="8"/>
      <c r="V26" s="8"/>
      <c r="W26" s="8"/>
      <c r="X26" s="8"/>
      <c r="Y26" s="8"/>
      <c r="Z26" s="8"/>
      <c r="AA26" s="8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</row>
    <row r="27" spans="1:77" ht="13.5" customHeight="1">
      <c r="B27" s="12"/>
      <c r="C27" s="13" t="s">
        <v>26</v>
      </c>
      <c r="E27" s="40"/>
      <c r="F27" s="40"/>
      <c r="H27" s="10" t="s">
        <v>40</v>
      </c>
      <c r="I27" s="5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</row>
    <row r="28" spans="1:77" ht="13.5" customHeight="1">
      <c r="B28" s="12"/>
      <c r="C28" s="12"/>
      <c r="D28" s="23"/>
      <c r="H28" s="11"/>
      <c r="I28" s="1" t="s">
        <v>56</v>
      </c>
      <c r="J28" s="6"/>
      <c r="K28" s="8"/>
      <c r="L28" s="8"/>
      <c r="M28" s="8"/>
      <c r="N28" s="8"/>
      <c r="O28" s="8"/>
      <c r="P28" s="8"/>
      <c r="Q28" s="8"/>
      <c r="R28" s="8"/>
      <c r="S28" s="8"/>
      <c r="T28" s="6"/>
      <c r="U28" s="8"/>
      <c r="V28" s="8"/>
      <c r="W28" s="8"/>
      <c r="X28" s="8"/>
      <c r="Y28" s="8"/>
      <c r="Z28" s="8"/>
      <c r="AA28" s="8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</row>
    <row r="29" spans="1:77" ht="13.5" customHeight="1">
      <c r="B29" s="12"/>
      <c r="C29" s="12"/>
      <c r="D29" s="23"/>
      <c r="H29" s="11"/>
      <c r="I29" s="1" t="s">
        <v>57</v>
      </c>
      <c r="J29" s="6"/>
      <c r="K29" s="7"/>
      <c r="L29" s="8"/>
      <c r="M29" s="8"/>
      <c r="N29" s="8"/>
      <c r="O29" s="8"/>
      <c r="P29" s="8"/>
      <c r="Q29" s="8"/>
      <c r="R29" s="8"/>
      <c r="S29" s="8"/>
      <c r="T29" s="6"/>
      <c r="U29" s="8"/>
      <c r="V29" s="8"/>
      <c r="W29" s="8"/>
      <c r="X29" s="8"/>
      <c r="Y29" s="8"/>
      <c r="Z29" s="8"/>
      <c r="AA29" s="8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</row>
    <row r="30" spans="1:77">
      <c r="B30" s="5" t="s">
        <v>7</v>
      </c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</row>
    <row r="31" spans="1:77" s="26" customFormat="1">
      <c r="A31" s="5"/>
      <c r="B31" s="5"/>
      <c r="C31" s="10" t="s">
        <v>27</v>
      </c>
      <c r="D31" s="5" t="s">
        <v>58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</row>
    <row r="32" spans="1:77" s="19" customFormat="1">
      <c r="A32" s="1"/>
      <c r="B32" s="1"/>
      <c r="C32" s="1"/>
      <c r="D32" s="1" t="s">
        <v>59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</row>
    <row r="33" spans="1:77" s="19" customFormat="1">
      <c r="A33" s="1"/>
      <c r="B33" s="1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1"/>
      <c r="Y33" s="1"/>
      <c r="Z33" s="1"/>
      <c r="AA33" s="1"/>
      <c r="AB33" s="1"/>
      <c r="AC33" s="1"/>
      <c r="AD33" s="1"/>
      <c r="AE33" s="1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</row>
    <row r="34" spans="1:77" s="26" customFormat="1">
      <c r="A34" s="5"/>
      <c r="B34" s="5"/>
      <c r="C34" s="10" t="s">
        <v>31</v>
      </c>
      <c r="D34" s="5" t="s">
        <v>60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</row>
    <row r="35" spans="1:77" s="19" customFormat="1">
      <c r="A35" s="1"/>
      <c r="B35" s="1"/>
      <c r="C35" s="1"/>
      <c r="D35" s="1" t="s">
        <v>61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</row>
    <row r="36" spans="1:77" s="19" customFormat="1">
      <c r="A36" s="1"/>
      <c r="B36" s="1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1"/>
      <c r="Y36" s="1"/>
      <c r="Z36" s="1"/>
      <c r="AA36" s="1"/>
      <c r="AB36" s="1"/>
      <c r="AC36" s="1"/>
      <c r="AD36" s="1"/>
      <c r="AE36" s="1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</row>
    <row r="37" spans="1:77" s="26" customFormat="1">
      <c r="A37" s="5"/>
      <c r="B37" s="5"/>
      <c r="C37" s="10" t="s">
        <v>34</v>
      </c>
      <c r="D37" s="5" t="s">
        <v>62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</row>
    <row r="38" spans="1:77" s="19" customFormat="1">
      <c r="A38" s="1"/>
      <c r="B38" s="1"/>
      <c r="C38" s="1"/>
      <c r="D38" s="1" t="s">
        <v>63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</row>
    <row r="39" spans="1:77" s="19" customFormat="1">
      <c r="A39" s="1"/>
      <c r="B39" s="1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1"/>
      <c r="Y39" s="1"/>
      <c r="Z39" s="1"/>
      <c r="AA39" s="1"/>
      <c r="AB39" s="1"/>
      <c r="AC39" s="1"/>
      <c r="AD39" s="1"/>
      <c r="AE39" s="1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</row>
    <row r="40" spans="1:77" s="26" customFormat="1">
      <c r="A40" s="5"/>
      <c r="B40" s="5"/>
      <c r="C40" s="10" t="s">
        <v>37</v>
      </c>
      <c r="D40" s="5" t="s">
        <v>64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</row>
    <row r="41" spans="1:77" s="19" customFormat="1">
      <c r="A41" s="1"/>
      <c r="B41" s="1"/>
      <c r="C41" s="1"/>
      <c r="D41" s="1" t="s">
        <v>65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</row>
    <row r="42" spans="1:77" s="19" customFormat="1">
      <c r="A42" s="1"/>
      <c r="B42" s="1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1"/>
      <c r="Y42" s="1"/>
      <c r="Z42" s="1"/>
      <c r="AA42" s="1"/>
      <c r="AB42" s="1"/>
      <c r="AC42" s="1"/>
      <c r="AD42" s="1"/>
      <c r="AE42" s="1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</row>
    <row r="43" spans="1:77" s="26" customFormat="1">
      <c r="A43" s="5"/>
      <c r="B43" s="5"/>
      <c r="C43" s="5" t="s">
        <v>5</v>
      </c>
      <c r="D43" s="5" t="s">
        <v>66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7" s="19" customFormat="1">
      <c r="A44" s="1"/>
      <c r="B44" s="1"/>
      <c r="C44" s="1"/>
      <c r="D44" s="1" t="s">
        <v>67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</row>
    <row r="45" spans="1:77" s="19" customFormat="1">
      <c r="A45" s="1"/>
      <c r="B45" s="1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1"/>
      <c r="Y45" s="1"/>
      <c r="Z45" s="1"/>
      <c r="AA45" s="1"/>
      <c r="AB45" s="1"/>
      <c r="AC45" s="1"/>
      <c r="AD45" s="1"/>
      <c r="AE45" s="1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</row>
    <row r="46" spans="1:77" s="26" customFormat="1">
      <c r="A46" s="5"/>
      <c r="B46" s="5"/>
      <c r="C46" s="5" t="s">
        <v>8</v>
      </c>
      <c r="D46" s="5" t="s">
        <v>68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</row>
    <row r="47" spans="1:77" s="19" customFormat="1">
      <c r="A47" s="1"/>
      <c r="B47" s="1"/>
      <c r="C47" s="1"/>
      <c r="D47" s="1" t="s">
        <v>69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</row>
    <row r="48" spans="1:77" s="19" customFormat="1">
      <c r="A48" s="1"/>
      <c r="B48" s="1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1"/>
      <c r="Y48" s="1"/>
      <c r="Z48" s="1"/>
      <c r="AA48" s="1"/>
      <c r="AB48" s="1"/>
      <c r="AC48" s="1"/>
      <c r="AD48" s="1"/>
      <c r="AE48" s="1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</row>
    <row r="49" spans="1:77" s="26" customFormat="1">
      <c r="A49" s="5"/>
      <c r="B49" s="5"/>
      <c r="C49" s="5" t="s">
        <v>9</v>
      </c>
      <c r="D49" s="5" t="s">
        <v>70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</row>
    <row r="50" spans="1:77" s="19" customFormat="1">
      <c r="A50" s="1"/>
      <c r="B50" s="1"/>
      <c r="C50" s="1"/>
      <c r="D50" s="1" t="s">
        <v>71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</row>
    <row r="51" spans="1:77" s="19" customFormat="1">
      <c r="A51" s="1"/>
      <c r="B51" s="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1"/>
      <c r="Y51" s="1"/>
      <c r="Z51" s="1"/>
      <c r="AA51" s="1"/>
      <c r="AB51" s="1"/>
      <c r="AC51" s="1"/>
      <c r="AD51" s="1"/>
      <c r="AE51" s="1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</row>
    <row r="52" spans="1:77" s="26" customFormat="1">
      <c r="A52" s="5"/>
      <c r="B52" s="5"/>
      <c r="C52" s="5" t="s">
        <v>10</v>
      </c>
      <c r="D52" s="5" t="s">
        <v>72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</row>
    <row r="53" spans="1:77" s="19" customFormat="1">
      <c r="A53" s="1"/>
      <c r="B53" s="1"/>
      <c r="C53" s="1"/>
      <c r="D53" s="1" t="s">
        <v>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</row>
    <row r="54" spans="1:77" s="19" customFormat="1">
      <c r="A54" s="1"/>
      <c r="B54" s="1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1"/>
      <c r="Y54" s="1"/>
      <c r="Z54" s="1"/>
      <c r="AA54" s="1"/>
      <c r="AB54" s="1"/>
      <c r="AC54" s="1"/>
      <c r="AD54" s="1"/>
      <c r="AE54" s="1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</row>
    <row r="55" spans="1:77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</row>
    <row r="56" spans="1:77">
      <c r="B56" s="5" t="s">
        <v>11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</row>
    <row r="57" spans="1:77">
      <c r="C57" s="5" t="s">
        <v>3</v>
      </c>
      <c r="D57" s="1" t="s">
        <v>74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1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</row>
    <row r="58" spans="1:77">
      <c r="C58" s="23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</row>
    <row r="59" spans="1:77">
      <c r="C59" s="10" t="s">
        <v>31</v>
      </c>
      <c r="D59" s="1" t="s">
        <v>75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</row>
    <row r="60" spans="1:77"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</row>
    <row r="61" spans="1:77">
      <c r="C61" s="10" t="s">
        <v>34</v>
      </c>
      <c r="D61" s="1" t="s">
        <v>76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</row>
    <row r="62" spans="1:77">
      <c r="C62" s="15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</row>
    <row r="63" spans="1:77">
      <c r="C63" s="10" t="s">
        <v>37</v>
      </c>
      <c r="D63" s="1" t="s">
        <v>77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</row>
    <row r="64" spans="1:77">
      <c r="C64" s="15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</row>
    <row r="65" spans="2:77">
      <c r="C65" s="5" t="s">
        <v>5</v>
      </c>
      <c r="D65" s="1" t="s">
        <v>78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</row>
    <row r="66" spans="2:77">
      <c r="C66" s="15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</row>
    <row r="67" spans="2:77" ht="9" customHeight="1">
      <c r="C67" s="15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</row>
    <row r="68" spans="2:77" ht="26.25" customHeight="1">
      <c r="B68" s="33" t="s">
        <v>13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</row>
    <row r="69" spans="2:77" ht="104.25" customHeight="1">
      <c r="B69" s="32" t="s">
        <v>79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</row>
    <row r="70" spans="2:77">
      <c r="C70" s="13" t="s">
        <v>26</v>
      </c>
      <c r="E70" s="40"/>
      <c r="F70" s="40"/>
      <c r="H70" s="5" t="s">
        <v>3</v>
      </c>
      <c r="I70" s="1" t="s">
        <v>12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Y70" s="17"/>
      <c r="Z70" s="17"/>
      <c r="AA70" s="17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</row>
    <row r="71" spans="2:77">
      <c r="B71" s="12"/>
      <c r="C71" s="12"/>
      <c r="D71" s="6"/>
      <c r="H71" s="8"/>
      <c r="I71" s="1" t="s">
        <v>80</v>
      </c>
      <c r="J71" s="6"/>
      <c r="K71" s="8"/>
      <c r="L71" s="8"/>
      <c r="M71" s="8"/>
      <c r="N71" s="8"/>
      <c r="O71" s="8"/>
      <c r="P71" s="8"/>
      <c r="Q71" s="8"/>
      <c r="R71" s="8"/>
      <c r="S71" s="8"/>
      <c r="T71" s="6"/>
      <c r="U71" s="8"/>
      <c r="V71" s="8"/>
      <c r="W71" s="8"/>
      <c r="X71" s="8"/>
      <c r="Y71" s="8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</row>
    <row r="72" spans="2:77">
      <c r="B72" s="12"/>
      <c r="C72" s="12"/>
      <c r="D72" s="6"/>
      <c r="H72" s="8"/>
      <c r="I72" s="1" t="s">
        <v>81</v>
      </c>
      <c r="J72" s="6"/>
      <c r="K72" s="7"/>
      <c r="L72" s="8"/>
      <c r="M72" s="8"/>
      <c r="N72" s="8"/>
      <c r="O72" s="8"/>
      <c r="P72" s="8"/>
      <c r="Q72" s="8"/>
      <c r="R72" s="8"/>
      <c r="S72" s="8"/>
      <c r="T72" s="6"/>
      <c r="U72" s="8"/>
      <c r="V72" s="8"/>
      <c r="W72" s="8"/>
      <c r="X72" s="8"/>
      <c r="Y72" s="8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</row>
    <row r="73" spans="2:77">
      <c r="B73" s="12"/>
      <c r="C73" s="13" t="s">
        <v>26</v>
      </c>
      <c r="E73" s="40"/>
      <c r="F73" s="40"/>
      <c r="H73" s="5" t="s">
        <v>4</v>
      </c>
      <c r="I73" s="1" t="s">
        <v>82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Y73" s="17"/>
      <c r="Z73" s="17"/>
      <c r="AA73" s="17"/>
      <c r="AB73" s="17"/>
      <c r="AC73" s="17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</row>
    <row r="74" spans="2:77">
      <c r="B74" s="12"/>
      <c r="C74" s="12"/>
      <c r="D74" s="6"/>
      <c r="H74" s="8"/>
      <c r="I74" s="1" t="s">
        <v>83</v>
      </c>
      <c r="J74" s="6"/>
      <c r="K74" s="8"/>
      <c r="L74" s="8"/>
      <c r="M74" s="8"/>
      <c r="N74" s="8"/>
      <c r="O74" s="8"/>
      <c r="P74" s="8"/>
      <c r="Q74" s="8"/>
      <c r="R74" s="8"/>
      <c r="S74" s="8"/>
      <c r="T74" s="6"/>
      <c r="U74" s="8"/>
      <c r="V74" s="8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</row>
    <row r="75" spans="2:77">
      <c r="B75" s="12"/>
      <c r="C75" s="12"/>
      <c r="D75" s="6"/>
      <c r="H75" s="8"/>
      <c r="I75" s="1" t="s">
        <v>84</v>
      </c>
      <c r="J75" s="6"/>
      <c r="K75" s="7"/>
      <c r="L75" s="8"/>
      <c r="M75" s="8"/>
      <c r="N75" s="8"/>
      <c r="O75" s="8"/>
      <c r="P75" s="8"/>
      <c r="Q75" s="8"/>
      <c r="R75" s="8"/>
      <c r="S75" s="8"/>
      <c r="T75" s="6"/>
      <c r="U75" s="8"/>
      <c r="V75" s="8"/>
      <c r="Y75" s="17"/>
      <c r="Z75" s="17"/>
      <c r="AA75" s="17"/>
      <c r="AB75" s="17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</row>
    <row r="76" spans="2:77">
      <c r="B76" s="12"/>
      <c r="C76" s="13" t="s">
        <v>26</v>
      </c>
      <c r="E76" s="40"/>
      <c r="F76" s="40"/>
      <c r="H76" s="10" t="s">
        <v>34</v>
      </c>
      <c r="I76" s="1" t="s">
        <v>85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Y76" s="17"/>
      <c r="Z76" s="17"/>
      <c r="AA76" s="17"/>
      <c r="AB76" s="17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</row>
    <row r="77" spans="2:77">
      <c r="B77" s="12"/>
      <c r="C77" s="12"/>
      <c r="D77" s="8"/>
      <c r="H77" s="8"/>
      <c r="I77" s="1" t="s">
        <v>86</v>
      </c>
      <c r="J77" s="6"/>
      <c r="K77" s="8"/>
      <c r="L77" s="8"/>
      <c r="M77" s="8"/>
      <c r="N77" s="8"/>
      <c r="O77" s="8"/>
      <c r="P77" s="8"/>
      <c r="Q77" s="8"/>
      <c r="R77" s="8"/>
      <c r="S77" s="8"/>
      <c r="T77" s="6"/>
      <c r="U77" s="8"/>
      <c r="V77" s="8"/>
      <c r="Y77" s="17"/>
      <c r="Z77" s="17"/>
      <c r="AA77" s="17"/>
      <c r="AB77" s="17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</row>
    <row r="78" spans="2:77">
      <c r="B78" s="12"/>
      <c r="C78" s="12"/>
      <c r="D78" s="8"/>
      <c r="H78" s="8"/>
      <c r="I78" s="1" t="s">
        <v>87</v>
      </c>
      <c r="J78" s="6"/>
      <c r="K78" s="7"/>
      <c r="L78" s="8"/>
      <c r="M78" s="8"/>
      <c r="N78" s="8"/>
      <c r="O78" s="8"/>
      <c r="P78" s="8"/>
      <c r="Q78" s="8"/>
      <c r="R78" s="8"/>
      <c r="S78" s="8"/>
      <c r="T78" s="6"/>
      <c r="U78" s="8"/>
      <c r="V78" s="8"/>
      <c r="Y78" s="17"/>
      <c r="Z78" s="17"/>
      <c r="AA78" s="17"/>
      <c r="AB78" s="17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</row>
    <row r="79" spans="2:77">
      <c r="B79" s="12"/>
      <c r="C79" s="13" t="s">
        <v>26</v>
      </c>
      <c r="E79" s="40"/>
      <c r="F79" s="40"/>
      <c r="H79" s="10" t="s">
        <v>37</v>
      </c>
      <c r="I79" s="1" t="s">
        <v>88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Y79" s="17"/>
      <c r="Z79" s="17"/>
      <c r="AA79" s="17"/>
      <c r="AB79" s="17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</row>
    <row r="80" spans="2:77">
      <c r="B80" s="12"/>
      <c r="C80" s="12"/>
      <c r="D80" s="8"/>
      <c r="H80" s="8"/>
      <c r="I80" s="1" t="s">
        <v>89</v>
      </c>
      <c r="J80" s="6"/>
      <c r="K80" s="8"/>
      <c r="L80" s="8"/>
      <c r="M80" s="8"/>
      <c r="N80" s="8"/>
      <c r="O80" s="8"/>
      <c r="P80" s="8"/>
      <c r="Q80" s="8"/>
      <c r="R80" s="8"/>
      <c r="S80" s="8"/>
      <c r="T80" s="6"/>
      <c r="U80" s="8"/>
      <c r="V80" s="8"/>
      <c r="Y80" s="17"/>
      <c r="Z80" s="17"/>
      <c r="AA80" s="17"/>
      <c r="AB80" s="17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</row>
    <row r="81" spans="2:77">
      <c r="B81" s="12"/>
      <c r="C81" s="12"/>
      <c r="D81" s="8"/>
      <c r="H81" s="8"/>
      <c r="I81" s="1" t="s">
        <v>90</v>
      </c>
      <c r="J81" s="6"/>
      <c r="K81" s="7"/>
      <c r="L81" s="8"/>
      <c r="M81" s="8"/>
      <c r="N81" s="8"/>
      <c r="O81" s="8"/>
      <c r="P81" s="8"/>
      <c r="Q81" s="8"/>
      <c r="R81" s="8"/>
      <c r="S81" s="8"/>
      <c r="T81" s="6"/>
      <c r="U81" s="8"/>
      <c r="V81" s="8"/>
      <c r="Y81" s="17"/>
      <c r="Z81" s="17"/>
      <c r="AA81" s="17"/>
      <c r="AB81" s="17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</row>
    <row r="82" spans="2:77">
      <c r="B82" s="12"/>
      <c r="C82" s="13" t="s">
        <v>26</v>
      </c>
      <c r="E82" s="40"/>
      <c r="F82" s="40"/>
      <c r="H82" s="5" t="s">
        <v>5</v>
      </c>
      <c r="I82" s="1" t="s">
        <v>91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Y82" s="17"/>
      <c r="Z82" s="17"/>
      <c r="AA82" s="17"/>
      <c r="AB82" s="17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</row>
    <row r="83" spans="2:77">
      <c r="B83" s="12"/>
      <c r="C83" s="12"/>
      <c r="D83" s="8"/>
      <c r="H83" s="8"/>
      <c r="I83" s="1" t="s">
        <v>92</v>
      </c>
      <c r="J83" s="6"/>
      <c r="K83" s="8"/>
      <c r="L83" s="8"/>
      <c r="M83" s="8"/>
      <c r="N83" s="8"/>
      <c r="O83" s="8"/>
      <c r="P83" s="8"/>
      <c r="Q83" s="8"/>
      <c r="R83" s="8"/>
      <c r="S83" s="8"/>
      <c r="T83" s="6"/>
      <c r="U83" s="8"/>
      <c r="V83" s="8"/>
      <c r="Y83" s="17"/>
      <c r="Z83" s="17"/>
      <c r="AA83" s="17"/>
      <c r="AB83" s="17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</row>
    <row r="84" spans="2:77">
      <c r="D84" s="8"/>
      <c r="H84" s="8"/>
      <c r="I84" s="1" t="s">
        <v>93</v>
      </c>
      <c r="J84" s="6"/>
      <c r="K84" s="7"/>
      <c r="L84" s="8"/>
      <c r="M84" s="8"/>
      <c r="N84" s="8"/>
      <c r="O84" s="8"/>
      <c r="P84" s="8"/>
      <c r="Q84" s="8"/>
      <c r="R84" s="8"/>
      <c r="S84" s="8"/>
      <c r="T84" s="6"/>
      <c r="U84" s="8"/>
      <c r="V84" s="8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</row>
    <row r="85" spans="2:77"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</row>
    <row r="86" spans="2:77"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</row>
    <row r="87" spans="2:77"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</row>
    <row r="88" spans="2:77"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</row>
    <row r="89" spans="2:77"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</row>
    <row r="90" spans="2:77"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</row>
    <row r="91" spans="2:77"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</row>
    <row r="92" spans="2:77"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</row>
    <row r="93" spans="2:77"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</row>
    <row r="94" spans="2:77"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</row>
    <row r="95" spans="2:77"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</row>
    <row r="96" spans="2:77"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</row>
    <row r="97" spans="32:77"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</row>
    <row r="98" spans="32:77"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</row>
    <row r="99" spans="32:77"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</row>
    <row r="100" spans="32:77"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</row>
    <row r="101" spans="32:77"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</row>
    <row r="102" spans="32:77"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</row>
    <row r="103" spans="32:77"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</row>
    <row r="104" spans="32:77"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</row>
    <row r="105" spans="32:77"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</row>
    <row r="106" spans="32:77"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</row>
    <row r="107" spans="32:77"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</row>
    <row r="108" spans="32:77"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</row>
    <row r="109" spans="32:77"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</row>
    <row r="110" spans="32:77"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</row>
    <row r="111" spans="32:77"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</row>
    <row r="112" spans="32:77"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</row>
    <row r="113" spans="32:77"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</row>
    <row r="114" spans="32:77"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</row>
    <row r="115" spans="32:77"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</row>
    <row r="116" spans="32:77"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</row>
    <row r="117" spans="32:77"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</row>
    <row r="118" spans="32:77"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</row>
    <row r="119" spans="32:77"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</row>
    <row r="120" spans="32:77"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</row>
    <row r="121" spans="32:77"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</row>
    <row r="122" spans="32:77"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</row>
    <row r="123" spans="32:77"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</row>
    <row r="124" spans="32:77"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</row>
    <row r="125" spans="32:77"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</row>
    <row r="126" spans="32:77"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</row>
    <row r="127" spans="32:77"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</row>
    <row r="128" spans="32:77"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</row>
    <row r="129" spans="32:77"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</row>
    <row r="130" spans="32:77"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</row>
    <row r="131" spans="32:77"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</row>
    <row r="132" spans="32:77"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</row>
    <row r="133" spans="32:77"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</row>
    <row r="134" spans="32:77"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</row>
    <row r="135" spans="32:77"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</row>
    <row r="136" spans="32:77"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</row>
    <row r="137" spans="32:77"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</row>
    <row r="138" spans="32:77"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</row>
    <row r="139" spans="32:77"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</row>
  </sheetData>
  <mergeCells count="39">
    <mergeCell ref="J1:K1"/>
    <mergeCell ref="L1:T1"/>
    <mergeCell ref="B2:D2"/>
    <mergeCell ref="E2:J2"/>
    <mergeCell ref="N2:U2"/>
    <mergeCell ref="C39:W39"/>
    <mergeCell ref="C42:W42"/>
    <mergeCell ref="C33:W33"/>
    <mergeCell ref="C36:W36"/>
    <mergeCell ref="E4:F4"/>
    <mergeCell ref="E6:F6"/>
    <mergeCell ref="E8:F8"/>
    <mergeCell ref="E10:F10"/>
    <mergeCell ref="J6:L6"/>
    <mergeCell ref="L8:N8"/>
    <mergeCell ref="O12:Q12"/>
    <mergeCell ref="AA12:AB12"/>
    <mergeCell ref="B69:AE69"/>
    <mergeCell ref="C48:W48"/>
    <mergeCell ref="C51:W51"/>
    <mergeCell ref="C54:W54"/>
    <mergeCell ref="D58:X58"/>
    <mergeCell ref="D60:X60"/>
    <mergeCell ref="B68:X68"/>
    <mergeCell ref="D62:X62"/>
    <mergeCell ref="D64:X64"/>
    <mergeCell ref="D66:X66"/>
    <mergeCell ref="E12:F12"/>
    <mergeCell ref="E15:F15"/>
    <mergeCell ref="E18:F18"/>
    <mergeCell ref="E21:F21"/>
    <mergeCell ref="C45:W45"/>
    <mergeCell ref="E79:F79"/>
    <mergeCell ref="E82:F82"/>
    <mergeCell ref="E24:F24"/>
    <mergeCell ref="E27:F27"/>
    <mergeCell ref="E70:F70"/>
    <mergeCell ref="E73:F73"/>
    <mergeCell ref="E76:F76"/>
  </mergeCells>
  <phoneticPr fontId="1"/>
  <conditionalFormatting sqref="E4:F4">
    <cfRule type="containsBlanks" dxfId="38" priority="31">
      <formula>LEN(TRIM(E4))=0</formula>
    </cfRule>
  </conditionalFormatting>
  <conditionalFormatting sqref="E6:F6">
    <cfRule type="containsBlanks" dxfId="37" priority="30">
      <formula>LEN(TRIM(E6))=0</formula>
    </cfRule>
  </conditionalFormatting>
  <conditionalFormatting sqref="E8:F8">
    <cfRule type="containsBlanks" dxfId="36" priority="29">
      <formula>LEN(TRIM(E8))=0</formula>
    </cfRule>
  </conditionalFormatting>
  <conditionalFormatting sqref="E10:F10">
    <cfRule type="containsBlanks" dxfId="35" priority="28">
      <formula>LEN(TRIM(E10))=0</formula>
    </cfRule>
  </conditionalFormatting>
  <conditionalFormatting sqref="E12:F12">
    <cfRule type="containsBlanks" dxfId="34" priority="27">
      <formula>LEN(TRIM(E12))=0</formula>
    </cfRule>
  </conditionalFormatting>
  <conditionalFormatting sqref="E15:F15">
    <cfRule type="containsBlanks" dxfId="33" priority="26">
      <formula>LEN(TRIM(E15))=0</formula>
    </cfRule>
  </conditionalFormatting>
  <conditionalFormatting sqref="E18:F18">
    <cfRule type="containsBlanks" dxfId="32" priority="25">
      <formula>LEN(TRIM(E18))=0</formula>
    </cfRule>
  </conditionalFormatting>
  <conditionalFormatting sqref="E21:F21">
    <cfRule type="containsBlanks" dxfId="31" priority="24">
      <formula>LEN(TRIM(E21))=0</formula>
    </cfRule>
  </conditionalFormatting>
  <conditionalFormatting sqref="E24:F24">
    <cfRule type="containsBlanks" dxfId="30" priority="23">
      <formula>LEN(TRIM(E24))=0</formula>
    </cfRule>
  </conditionalFormatting>
  <conditionalFormatting sqref="E27:F27">
    <cfRule type="containsBlanks" dxfId="29" priority="22">
      <formula>LEN(TRIM(E27))=0</formula>
    </cfRule>
  </conditionalFormatting>
  <conditionalFormatting sqref="E70:F70">
    <cfRule type="containsBlanks" dxfId="28" priority="21">
      <formula>LEN(TRIM(E70))=0</formula>
    </cfRule>
  </conditionalFormatting>
  <conditionalFormatting sqref="E73:F73">
    <cfRule type="containsBlanks" dxfId="27" priority="20">
      <formula>LEN(TRIM(E73))=0</formula>
    </cfRule>
  </conditionalFormatting>
  <conditionalFormatting sqref="E76:F76">
    <cfRule type="containsBlanks" dxfId="26" priority="19">
      <formula>LEN(TRIM(E76))=0</formula>
    </cfRule>
  </conditionalFormatting>
  <conditionalFormatting sqref="E79:F79">
    <cfRule type="containsBlanks" dxfId="25" priority="18">
      <formula>LEN(TRIM(E79))=0</formula>
    </cfRule>
  </conditionalFormatting>
  <conditionalFormatting sqref="E82:F82">
    <cfRule type="containsBlanks" dxfId="24" priority="17">
      <formula>LEN(TRIM(E82))=0</formula>
    </cfRule>
  </conditionalFormatting>
  <conditionalFormatting sqref="E2:J2">
    <cfRule type="containsBlanks" dxfId="23" priority="16">
      <formula>LEN(TRIM(E2))=0</formula>
    </cfRule>
  </conditionalFormatting>
  <conditionalFormatting sqref="N2:U2">
    <cfRule type="containsBlanks" dxfId="22" priority="15">
      <formula>LEN(TRIM(N2))=0</formula>
    </cfRule>
  </conditionalFormatting>
  <conditionalFormatting sqref="L1:T1">
    <cfRule type="containsBlanks" dxfId="21" priority="14">
      <formula>LEN(TRIM(L1))=0</formula>
    </cfRule>
  </conditionalFormatting>
  <conditionalFormatting sqref="C33:W33">
    <cfRule type="containsBlanks" dxfId="20" priority="13">
      <formula>LEN(TRIM(C33))=0</formula>
    </cfRule>
  </conditionalFormatting>
  <conditionalFormatting sqref="C36:W36">
    <cfRule type="containsBlanks" dxfId="19" priority="12">
      <formula>LEN(TRIM(C36))=0</formula>
    </cfRule>
  </conditionalFormatting>
  <conditionalFormatting sqref="C39:W39">
    <cfRule type="containsBlanks" dxfId="18" priority="11">
      <formula>LEN(TRIM(C39))=0</formula>
    </cfRule>
  </conditionalFormatting>
  <conditionalFormatting sqref="C42:W42">
    <cfRule type="containsBlanks" dxfId="17" priority="10">
      <formula>LEN(TRIM(C42))=0</formula>
    </cfRule>
  </conditionalFormatting>
  <conditionalFormatting sqref="C45:W45">
    <cfRule type="containsBlanks" dxfId="16" priority="9">
      <formula>LEN(TRIM(C45))=0</formula>
    </cfRule>
  </conditionalFormatting>
  <conditionalFormatting sqref="C48:W48">
    <cfRule type="containsBlanks" dxfId="15" priority="8">
      <formula>LEN(TRIM(C48))=0</formula>
    </cfRule>
  </conditionalFormatting>
  <conditionalFormatting sqref="C51:W51">
    <cfRule type="containsBlanks" dxfId="14" priority="7">
      <formula>LEN(TRIM(C51))=0</formula>
    </cfRule>
  </conditionalFormatting>
  <conditionalFormatting sqref="C54:W54">
    <cfRule type="containsBlanks" dxfId="13" priority="6">
      <formula>LEN(TRIM(C54))=0</formula>
    </cfRule>
  </conditionalFormatting>
  <conditionalFormatting sqref="D58:X58">
    <cfRule type="containsBlanks" dxfId="12" priority="5">
      <formula>LEN(TRIM(D58))=0</formula>
    </cfRule>
  </conditionalFormatting>
  <conditionalFormatting sqref="D60:X60">
    <cfRule type="containsBlanks" dxfId="11" priority="4">
      <formula>LEN(TRIM(D60))=0</formula>
    </cfRule>
  </conditionalFormatting>
  <conditionalFormatting sqref="D62:X62">
    <cfRule type="containsBlanks" dxfId="10" priority="3">
      <formula>LEN(TRIM(D62))=0</formula>
    </cfRule>
  </conditionalFormatting>
  <conditionalFormatting sqref="D64:X64">
    <cfRule type="containsBlanks" dxfId="9" priority="2">
      <formula>LEN(TRIM(D64))=0</formula>
    </cfRule>
  </conditionalFormatting>
  <conditionalFormatting sqref="D66:X66">
    <cfRule type="containsBlanks" dxfId="8" priority="1">
      <formula>LEN(TRIM(D66))=0</formula>
    </cfRule>
  </conditionalFormatting>
  <dataValidations count="1">
    <dataValidation type="list" allowBlank="1" showInputMessage="1" showErrorMessage="1" sqref="E4:F4 E6:F6 E8:F8 E10:F10 E12:F12 E15:F15 E18:F18 E21:F21 E24:F24 E27:F27 E70:F70 E73:F73 E76:F76 E79:F79 E82:F82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16" zoomScale="145" zoomScaleNormal="145" workbookViewId="0">
      <selection activeCell="C24" sqref="A1:XFD1048576"/>
    </sheetView>
  </sheetViews>
  <sheetFormatPr defaultRowHeight="13.5"/>
  <cols>
    <col min="1" max="1" width="2.625" style="42" customWidth="1"/>
    <col min="2" max="2" width="4.125" style="42" customWidth="1"/>
    <col min="3" max="3" width="71.625" style="42" customWidth="1"/>
    <col min="4" max="4" width="4.75" style="42" customWidth="1"/>
    <col min="5" max="5" width="41.75" style="42" customWidth="1"/>
    <col min="6" max="6" width="3.625" style="42" customWidth="1"/>
    <col min="7" max="16384" width="9" style="42"/>
  </cols>
  <sheetData>
    <row r="1" spans="1:32">
      <c r="A1" s="41"/>
      <c r="B1" s="41"/>
      <c r="C1" s="41" t="s">
        <v>22</v>
      </c>
      <c r="E1" s="41" t="s">
        <v>21</v>
      </c>
      <c r="F1" s="41"/>
      <c r="G1" s="41" t="s">
        <v>20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</row>
    <row r="2" spans="1:32">
      <c r="A2" s="41"/>
      <c r="B2" s="43" t="s">
        <v>19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</row>
    <row r="3" spans="1:32">
      <c r="A3" s="41"/>
      <c r="B3" s="42">
        <v>1</v>
      </c>
      <c r="C3" s="43">
        <f>'1'!E4</f>
        <v>0</v>
      </c>
      <c r="D3" s="41"/>
      <c r="E3" s="41">
        <v>1</v>
      </c>
      <c r="F3" s="41"/>
      <c r="G3" s="44">
        <f>IF(C3=E3,3,0)</f>
        <v>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</row>
    <row r="4" spans="1:32">
      <c r="A4" s="41"/>
      <c r="B4" s="42">
        <v>2</v>
      </c>
      <c r="C4" s="43">
        <f>'1'!E6</f>
        <v>0</v>
      </c>
      <c r="D4" s="41"/>
      <c r="E4" s="41">
        <v>4</v>
      </c>
      <c r="F4" s="41"/>
      <c r="G4" s="44">
        <f t="shared" ref="G4:G7" si="0">IF(C4=E4,3,0)</f>
        <v>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</row>
    <row r="5" spans="1:32">
      <c r="A5" s="41"/>
      <c r="B5" s="42">
        <v>3</v>
      </c>
      <c r="C5" s="43">
        <f>'1'!E8</f>
        <v>0</v>
      </c>
      <c r="D5" s="41"/>
      <c r="E5" s="41">
        <v>3</v>
      </c>
      <c r="F5" s="41"/>
      <c r="G5" s="44">
        <f t="shared" si="0"/>
        <v>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</row>
    <row r="6" spans="1:32">
      <c r="A6" s="41"/>
      <c r="B6" s="42">
        <v>4</v>
      </c>
      <c r="C6" s="43">
        <f>'1'!E10</f>
        <v>0</v>
      </c>
      <c r="D6" s="41"/>
      <c r="E6" s="41">
        <v>2</v>
      </c>
      <c r="F6" s="41"/>
      <c r="G6" s="44">
        <f t="shared" si="0"/>
        <v>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2">
      <c r="A7" s="41"/>
      <c r="B7" s="42">
        <v>5</v>
      </c>
      <c r="C7" s="43">
        <f>'1'!E12</f>
        <v>0</v>
      </c>
      <c r="D7" s="41"/>
      <c r="E7" s="41">
        <v>3</v>
      </c>
      <c r="F7" s="41"/>
      <c r="G7" s="44">
        <f t="shared" si="0"/>
        <v>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</row>
    <row r="8" spans="1:32">
      <c r="A8" s="41"/>
      <c r="B8" s="43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</row>
    <row r="9" spans="1:32">
      <c r="A9" s="41"/>
      <c r="B9" s="43" t="s">
        <v>18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</row>
    <row r="10" spans="1:32">
      <c r="A10" s="41"/>
      <c r="B10" s="43">
        <v>1</v>
      </c>
      <c r="C10" s="41">
        <f>'1'!E15</f>
        <v>0</v>
      </c>
      <c r="D10" s="41"/>
      <c r="E10" s="41">
        <v>4</v>
      </c>
      <c r="F10" s="41"/>
      <c r="G10" s="44">
        <f>IF(C10=E10,3,0)</f>
        <v>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</row>
    <row r="11" spans="1:32">
      <c r="A11" s="41"/>
      <c r="B11" s="43">
        <v>2</v>
      </c>
      <c r="C11" s="41">
        <f>'1'!E18</f>
        <v>0</v>
      </c>
      <c r="D11" s="41"/>
      <c r="E11" s="41">
        <v>3</v>
      </c>
      <c r="F11" s="41"/>
      <c r="G11" s="44">
        <f>IF(C11=E11,3,0)</f>
        <v>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</row>
    <row r="12" spans="1:32">
      <c r="A12" s="41"/>
      <c r="B12" s="43">
        <v>3</v>
      </c>
      <c r="C12" s="41">
        <f>'1'!E21</f>
        <v>0</v>
      </c>
      <c r="D12" s="41"/>
      <c r="E12" s="41">
        <v>4</v>
      </c>
      <c r="F12" s="41"/>
      <c r="G12" s="44">
        <f>IF(C12=E12,3,0)</f>
        <v>0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</row>
    <row r="13" spans="1:32">
      <c r="A13" s="41"/>
      <c r="B13" s="43">
        <v>4</v>
      </c>
      <c r="C13" s="41">
        <f>'1'!E24</f>
        <v>0</v>
      </c>
      <c r="D13" s="41"/>
      <c r="E13" s="41">
        <v>1</v>
      </c>
      <c r="F13" s="41"/>
      <c r="G13" s="44">
        <f>IF(C13=E13,3,0)</f>
        <v>0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</row>
    <row r="14" spans="1:32">
      <c r="A14" s="41"/>
      <c r="B14" s="43">
        <v>5</v>
      </c>
      <c r="C14" s="41">
        <f>'1'!E27</f>
        <v>0</v>
      </c>
      <c r="D14" s="41"/>
      <c r="E14" s="41">
        <v>1</v>
      </c>
      <c r="F14" s="41"/>
      <c r="G14" s="44">
        <f>IF(C14=E14,3,0)</f>
        <v>0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</row>
    <row r="15" spans="1:32">
      <c r="A15" s="41"/>
      <c r="B15" s="43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</row>
    <row r="16" spans="1:32">
      <c r="A16" s="41"/>
      <c r="B16" s="43" t="s">
        <v>17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</row>
    <row r="17" spans="1:32">
      <c r="A17" s="41"/>
      <c r="B17" s="43">
        <v>1</v>
      </c>
      <c r="C17" s="41">
        <f>'1'!C33</f>
        <v>0</v>
      </c>
      <c r="D17" s="41"/>
      <c r="E17" s="41" t="s">
        <v>94</v>
      </c>
      <c r="F17" s="41"/>
      <c r="G17" s="44">
        <f t="shared" ref="G17:G23" si="1">IF(C17=E17,5,0)</f>
        <v>0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</row>
    <row r="18" spans="1:32">
      <c r="A18" s="41"/>
      <c r="B18" s="43">
        <v>2</v>
      </c>
      <c r="C18" s="41">
        <f>'1'!C36</f>
        <v>0</v>
      </c>
      <c r="D18" s="41"/>
      <c r="E18" s="41" t="s">
        <v>95</v>
      </c>
      <c r="F18" s="41"/>
      <c r="G18" s="44">
        <f t="shared" si="1"/>
        <v>0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</row>
    <row r="19" spans="1:32">
      <c r="A19" s="41"/>
      <c r="B19" s="43">
        <v>3</v>
      </c>
      <c r="C19" s="41">
        <f>'1'!C39</f>
        <v>0</v>
      </c>
      <c r="D19" s="41"/>
      <c r="E19" s="41" t="s">
        <v>96</v>
      </c>
      <c r="F19" s="41"/>
      <c r="G19" s="44">
        <f>IF(OR(C19=E19,C19=I19)=TRUE,5,0)</f>
        <v>0</v>
      </c>
      <c r="H19" s="41"/>
      <c r="I19" s="41" t="s">
        <v>97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</row>
    <row r="20" spans="1:32">
      <c r="A20" s="41"/>
      <c r="B20" s="43">
        <v>4</v>
      </c>
      <c r="C20" s="41">
        <f>'1'!C42</f>
        <v>0</v>
      </c>
      <c r="D20" s="41"/>
      <c r="E20" s="41" t="s">
        <v>98</v>
      </c>
      <c r="F20" s="41"/>
      <c r="G20" s="44">
        <f t="shared" si="1"/>
        <v>0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</row>
    <row r="21" spans="1:32">
      <c r="A21" s="41"/>
      <c r="B21" s="43">
        <v>5</v>
      </c>
      <c r="C21" s="41">
        <f>'1'!C45</f>
        <v>0</v>
      </c>
      <c r="D21" s="41"/>
      <c r="E21" s="41" t="s">
        <v>99</v>
      </c>
      <c r="F21" s="41"/>
      <c r="G21" s="44">
        <f t="shared" si="1"/>
        <v>0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</row>
    <row r="22" spans="1:32">
      <c r="A22" s="41"/>
      <c r="B22" s="43">
        <v>6</v>
      </c>
      <c r="C22" s="41">
        <f>'1'!C48</f>
        <v>0</v>
      </c>
      <c r="D22" s="41"/>
      <c r="E22" s="41" t="s">
        <v>100</v>
      </c>
      <c r="F22" s="41"/>
      <c r="G22" s="44">
        <f t="shared" si="1"/>
        <v>0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</row>
    <row r="23" spans="1:32">
      <c r="A23" s="41"/>
      <c r="B23" s="43">
        <v>7</v>
      </c>
      <c r="C23" s="41">
        <f>'1'!C51</f>
        <v>0</v>
      </c>
      <c r="D23" s="41"/>
      <c r="E23" s="41" t="s">
        <v>101</v>
      </c>
      <c r="F23" s="41"/>
      <c r="G23" s="44">
        <f t="shared" si="1"/>
        <v>0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</row>
    <row r="24" spans="1:32">
      <c r="A24" s="41"/>
      <c r="B24" s="43">
        <v>8</v>
      </c>
      <c r="C24" s="41">
        <f>'1'!C54</f>
        <v>0</v>
      </c>
      <c r="D24" s="41"/>
      <c r="E24" s="41" t="s">
        <v>102</v>
      </c>
      <c r="F24" s="41"/>
      <c r="G24" s="44">
        <f>IF(OR(C24=E24,C24=I24)=TRUE,5,0)</f>
        <v>0</v>
      </c>
      <c r="H24" s="41"/>
      <c r="I24" s="41" t="s">
        <v>103</v>
      </c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</row>
    <row r="25" spans="1:32">
      <c r="A25" s="41"/>
      <c r="B25" s="43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spans="1:32">
      <c r="A26" s="41"/>
      <c r="B26" s="43" t="s">
        <v>16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</row>
    <row r="27" spans="1:32">
      <c r="A27" s="41"/>
      <c r="B27" s="45">
        <v>1</v>
      </c>
      <c r="C27" s="41">
        <f>'1'!D58</f>
        <v>0</v>
      </c>
      <c r="D27" s="41"/>
      <c r="E27" s="41" t="s">
        <v>104</v>
      </c>
      <c r="F27" s="41"/>
      <c r="G27" s="44">
        <f>IF(C27=E27,3,0)</f>
        <v>0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</row>
    <row r="28" spans="1:32">
      <c r="A28" s="41"/>
      <c r="B28" s="45">
        <v>2</v>
      </c>
      <c r="C28" s="41">
        <f>'1'!D60</f>
        <v>0</v>
      </c>
      <c r="D28" s="41"/>
      <c r="E28" s="41" t="s">
        <v>105</v>
      </c>
      <c r="F28" s="41"/>
      <c r="G28" s="44">
        <f t="shared" ref="G28:G31" si="2">IF(C28=E28,3,0)</f>
        <v>0</v>
      </c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</row>
    <row r="29" spans="1:32">
      <c r="A29" s="41"/>
      <c r="B29" s="45">
        <v>3</v>
      </c>
      <c r="C29" s="41">
        <f>'1'!D62</f>
        <v>0</v>
      </c>
      <c r="D29" s="41"/>
      <c r="E29" s="41" t="s">
        <v>106</v>
      </c>
      <c r="F29" s="41"/>
      <c r="G29" s="44">
        <f t="shared" si="2"/>
        <v>0</v>
      </c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</row>
    <row r="30" spans="1:32">
      <c r="A30" s="41"/>
      <c r="B30" s="45">
        <v>4</v>
      </c>
      <c r="C30" s="41">
        <f>'1'!D64</f>
        <v>0</v>
      </c>
      <c r="D30" s="41"/>
      <c r="E30" s="41" t="s">
        <v>107</v>
      </c>
      <c r="F30" s="41"/>
      <c r="G30" s="44">
        <f t="shared" si="2"/>
        <v>0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</row>
    <row r="31" spans="1:32">
      <c r="A31" s="41"/>
      <c r="B31" s="45">
        <v>5</v>
      </c>
      <c r="C31" s="41">
        <f>'1'!D66</f>
        <v>0</v>
      </c>
      <c r="D31" s="41"/>
      <c r="E31" s="41" t="s">
        <v>108</v>
      </c>
      <c r="F31" s="41"/>
      <c r="G31" s="44">
        <f t="shared" si="2"/>
        <v>0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</row>
    <row r="32" spans="1: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</row>
    <row r="33" spans="1:32">
      <c r="A33" s="41"/>
      <c r="B33" s="43" t="s">
        <v>24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</row>
    <row r="34" spans="1:32">
      <c r="A34" s="41"/>
      <c r="B34" s="45">
        <v>1</v>
      </c>
      <c r="C34" s="41">
        <f>'1'!E70</f>
        <v>0</v>
      </c>
      <c r="D34" s="41"/>
      <c r="E34" s="41">
        <v>2</v>
      </c>
      <c r="F34" s="41"/>
      <c r="G34" s="44">
        <f>IF(C34=E34,3,0)</f>
        <v>0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</row>
    <row r="35" spans="1:32">
      <c r="A35" s="41"/>
      <c r="B35" s="45">
        <v>2</v>
      </c>
      <c r="C35" s="41">
        <f>'1'!E73</f>
        <v>0</v>
      </c>
      <c r="D35" s="41"/>
      <c r="E35" s="41">
        <v>3</v>
      </c>
      <c r="F35" s="41"/>
      <c r="G35" s="44">
        <f t="shared" ref="G35:G38" si="3">IF(C35=E35,3,0)</f>
        <v>0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</row>
    <row r="36" spans="1:32">
      <c r="A36" s="41"/>
      <c r="B36" s="45">
        <v>3</v>
      </c>
      <c r="C36" s="41">
        <f>'1'!E76</f>
        <v>0</v>
      </c>
      <c r="D36" s="41"/>
      <c r="E36" s="41">
        <v>1</v>
      </c>
      <c r="F36" s="41"/>
      <c r="G36" s="44">
        <f t="shared" si="3"/>
        <v>0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</row>
    <row r="37" spans="1:32">
      <c r="A37" s="41"/>
      <c r="B37" s="45">
        <v>4</v>
      </c>
      <c r="C37" s="41">
        <f>'1'!E79</f>
        <v>0</v>
      </c>
      <c r="D37" s="41"/>
      <c r="E37" s="41">
        <v>3</v>
      </c>
      <c r="G37" s="44">
        <f t="shared" si="3"/>
        <v>0</v>
      </c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</row>
    <row r="38" spans="1:32">
      <c r="A38" s="41"/>
      <c r="B38" s="45">
        <v>5</v>
      </c>
      <c r="C38" s="41">
        <f>'1'!E82</f>
        <v>0</v>
      </c>
      <c r="D38" s="41"/>
      <c r="E38" s="41">
        <v>2</v>
      </c>
      <c r="F38" s="41"/>
      <c r="G38" s="44">
        <f t="shared" si="3"/>
        <v>0</v>
      </c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</row>
    <row r="39" spans="1:32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</row>
    <row r="46" spans="1:32">
      <c r="E46" s="41" t="s">
        <v>15</v>
      </c>
      <c r="F46" s="41"/>
      <c r="G46" s="41">
        <f>SUM(G2:G45)</f>
        <v>0</v>
      </c>
    </row>
  </sheetData>
  <sheetProtection password="CF40" sheet="1" objects="1" scenarios="1" selectLockedCells="1" selectUnlockedCells="1"/>
  <phoneticPr fontId="11" type="noConversion"/>
  <conditionalFormatting sqref="G3:G7">
    <cfRule type="cellIs" dxfId="7" priority="7" operator="equal">
      <formula>0</formula>
    </cfRule>
  </conditionalFormatting>
  <conditionalFormatting sqref="G10:G14">
    <cfRule type="cellIs" dxfId="6" priority="6" operator="equal">
      <formula>0</formula>
    </cfRule>
  </conditionalFormatting>
  <conditionalFormatting sqref="G17:G18 G20:G23">
    <cfRule type="cellIs" dxfId="5" priority="5" operator="equal">
      <formula>0</formula>
    </cfRule>
  </conditionalFormatting>
  <conditionalFormatting sqref="G27:G31">
    <cfRule type="cellIs" dxfId="4" priority="4" operator="equal">
      <formula>0</formula>
    </cfRule>
  </conditionalFormatting>
  <conditionalFormatting sqref="G34:G38">
    <cfRule type="cellIs" dxfId="3" priority="3" operator="equal">
      <formula>0</formula>
    </cfRule>
  </conditionalFormatting>
  <conditionalFormatting sqref="G19">
    <cfRule type="cellIs" dxfId="2" priority="2" operator="equal">
      <formula>0</formula>
    </cfRule>
  </conditionalFormatting>
  <conditionalFormatting sqref="G24">
    <cfRule type="cellIs" dxfId="1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workbookViewId="0">
      <selection activeCell="C4" sqref="C4"/>
    </sheetView>
  </sheetViews>
  <sheetFormatPr defaultRowHeight="13.5"/>
  <cols>
    <col min="7" max="7" width="4.125" customWidth="1"/>
  </cols>
  <sheetData>
    <row r="1" spans="2:8">
      <c r="G1" s="24"/>
    </row>
    <row r="2" spans="2:8">
      <c r="B2" t="s">
        <v>109</v>
      </c>
      <c r="C2">
        <f>'1'!L1</f>
        <v>0</v>
      </c>
      <c r="H2" t="s">
        <v>20</v>
      </c>
    </row>
    <row r="3" spans="2:8">
      <c r="B3" t="s">
        <v>110</v>
      </c>
      <c r="C3">
        <f>'1'!N2</f>
        <v>0</v>
      </c>
      <c r="G3" s="26" t="s">
        <v>19</v>
      </c>
      <c r="H3" s="30">
        <v>0.15</v>
      </c>
    </row>
    <row r="4" spans="2:8">
      <c r="B4" t="s">
        <v>111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29" t="s">
        <v>23</v>
      </c>
      <c r="E6" s="27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26"/>
    </row>
    <row r="10" spans="2:8">
      <c r="G10" s="26" t="s">
        <v>18</v>
      </c>
      <c r="H10" s="30">
        <v>0.15</v>
      </c>
    </row>
    <row r="11" spans="2:8">
      <c r="G11" s="26">
        <v>1</v>
      </c>
      <c r="H11" t="str">
        <f>IF('2'!C10='2'!E10,"○","×")</f>
        <v>×</v>
      </c>
    </row>
    <row r="12" spans="2:8">
      <c r="G12" s="26">
        <v>2</v>
      </c>
      <c r="H12" t="str">
        <f>IF('2'!C11='2'!E11,"○","×")</f>
        <v>×</v>
      </c>
    </row>
    <row r="13" spans="2:8">
      <c r="G13" s="26">
        <v>3</v>
      </c>
      <c r="H13" t="str">
        <f>IF('2'!C12='2'!E12,"○","×")</f>
        <v>×</v>
      </c>
    </row>
    <row r="14" spans="2:8">
      <c r="G14" s="26">
        <v>4</v>
      </c>
      <c r="H14" t="str">
        <f>IF('2'!C13='2'!E13,"○","×")</f>
        <v>×</v>
      </c>
    </row>
    <row r="15" spans="2:8">
      <c r="G15" s="26">
        <v>5</v>
      </c>
      <c r="H15" t="str">
        <f>IF('2'!C14='2'!E14,"○","×")</f>
        <v>×</v>
      </c>
    </row>
    <row r="16" spans="2:8">
      <c r="G16" s="26"/>
    </row>
    <row r="17" spans="7:8">
      <c r="G17" s="26" t="s">
        <v>17</v>
      </c>
      <c r="H17" s="30">
        <v>0.4</v>
      </c>
    </row>
    <row r="18" spans="7:8">
      <c r="G18" s="26">
        <v>1</v>
      </c>
      <c r="H18" t="str">
        <f>IF('2'!C17='2'!E17,"○","×")</f>
        <v>×</v>
      </c>
    </row>
    <row r="19" spans="7:8">
      <c r="G19" s="26">
        <v>2</v>
      </c>
      <c r="H19" t="str">
        <f>IF('2'!C18='2'!E18,"○","×")</f>
        <v>×</v>
      </c>
    </row>
    <row r="20" spans="7:8">
      <c r="G20" s="26">
        <v>3</v>
      </c>
      <c r="H20" t="str">
        <f>IF('2'!C19='2'!E19,"○","×")</f>
        <v>×</v>
      </c>
    </row>
    <row r="21" spans="7:8">
      <c r="G21" s="26">
        <v>4</v>
      </c>
      <c r="H21" t="str">
        <f>IF('2'!C20='2'!E20,"○","×")</f>
        <v>×</v>
      </c>
    </row>
    <row r="22" spans="7:8">
      <c r="G22" s="26">
        <v>5</v>
      </c>
      <c r="H22" t="str">
        <f>IF('2'!C21='2'!E21,"○","×")</f>
        <v>×</v>
      </c>
    </row>
    <row r="23" spans="7:8">
      <c r="G23" s="26">
        <v>6</v>
      </c>
      <c r="H23" t="str">
        <f>IF('2'!C22='2'!E22,"○","×")</f>
        <v>×</v>
      </c>
    </row>
    <row r="24" spans="7:8">
      <c r="G24" s="26">
        <v>7</v>
      </c>
      <c r="H24" t="str">
        <f>IF('2'!C23='2'!E23,"○","×")</f>
        <v>×</v>
      </c>
    </row>
    <row r="25" spans="7:8">
      <c r="G25" s="26">
        <v>8</v>
      </c>
      <c r="H25" t="str">
        <f>IF('2'!C24='2'!E24,"○","×")</f>
        <v>×</v>
      </c>
    </row>
    <row r="26" spans="7:8">
      <c r="G26" s="26"/>
    </row>
    <row r="27" spans="7:8">
      <c r="G27" s="26" t="s">
        <v>16</v>
      </c>
      <c r="H27" s="30">
        <v>0.15</v>
      </c>
    </row>
    <row r="28" spans="7:8">
      <c r="G28" s="25">
        <v>1</v>
      </c>
      <c r="H28" t="str">
        <f>IF('2'!C27='2'!E27,"○","×")</f>
        <v>×</v>
      </c>
    </row>
    <row r="29" spans="7:8">
      <c r="G29" s="25">
        <v>2</v>
      </c>
      <c r="H29" t="str">
        <f>IF('2'!C28='2'!E28,"○","×")</f>
        <v>×</v>
      </c>
    </row>
    <row r="30" spans="7:8">
      <c r="G30" s="25">
        <v>3</v>
      </c>
      <c r="H30" t="str">
        <f>IF('2'!C29='2'!E29,"○","×")</f>
        <v>×</v>
      </c>
    </row>
    <row r="31" spans="7:8">
      <c r="G31" s="25">
        <v>4</v>
      </c>
      <c r="H31" t="str">
        <f>IF('2'!C30='2'!E30,"○","×")</f>
        <v>×</v>
      </c>
    </row>
    <row r="32" spans="7:8">
      <c r="G32" s="25">
        <v>5</v>
      </c>
      <c r="H32" t="str">
        <f>IF('2'!C31='2'!E31,"○","×")</f>
        <v>×</v>
      </c>
    </row>
    <row r="33" spans="7:8">
      <c r="G33" s="24"/>
    </row>
    <row r="34" spans="7:8">
      <c r="G34" s="26" t="s">
        <v>24</v>
      </c>
      <c r="H34" s="30">
        <v>0.15</v>
      </c>
    </row>
    <row r="35" spans="7:8">
      <c r="G35" s="25">
        <v>1</v>
      </c>
      <c r="H35" t="str">
        <f>IF('2'!C34='2'!E34,"○","×")</f>
        <v>×</v>
      </c>
    </row>
    <row r="36" spans="7:8">
      <c r="G36" s="25">
        <v>2</v>
      </c>
      <c r="H36" t="str">
        <f>IF('2'!C35='2'!E35,"○","×")</f>
        <v>×</v>
      </c>
    </row>
    <row r="37" spans="7:8">
      <c r="G37" s="25">
        <v>3</v>
      </c>
      <c r="H37" t="str">
        <f>IF('2'!C36='2'!E36,"○","×")</f>
        <v>×</v>
      </c>
    </row>
    <row r="38" spans="7:8">
      <c r="G38" s="25">
        <v>4</v>
      </c>
      <c r="H38" t="str">
        <f>IF('2'!C37='2'!E37,"○","×")</f>
        <v>×</v>
      </c>
    </row>
    <row r="39" spans="7:8">
      <c r="G39" s="25">
        <v>5</v>
      </c>
      <c r="H39" t="str">
        <f>IF('2'!C38='2'!E38,"○","×")</f>
        <v>×</v>
      </c>
    </row>
  </sheetData>
  <phoneticPr fontId="11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7C1FF8-4C22-4408-AE49-3A34AC3A8F10}"/>
</file>

<file path=customXml/itemProps2.xml><?xml version="1.0" encoding="utf-8"?>
<ds:datastoreItem xmlns:ds="http://schemas.openxmlformats.org/officeDocument/2006/customXml" ds:itemID="{EA55A21C-BEE2-48C1-A09B-CA06E0581AFD}"/>
</file>

<file path=customXml/itemProps3.xml><?xml version="1.0" encoding="utf-8"?>
<ds:datastoreItem xmlns:ds="http://schemas.openxmlformats.org/officeDocument/2006/customXml" ds:itemID="{84A09695-640D-4D03-A44B-4A5218AB0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2017-06-09T13:18:01Z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