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4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H4" i="3"/>
  <c r="C2"/>
  <c r="H5" l="1"/>
  <c r="H6"/>
  <c r="H7"/>
  <c r="H8"/>
  <c r="H11"/>
  <c r="H12"/>
  <c r="H13"/>
  <c r="H14"/>
  <c r="H15"/>
  <c r="H18"/>
  <c r="H19"/>
  <c r="H20"/>
  <c r="H21"/>
  <c r="H22"/>
  <c r="H23"/>
  <c r="H24"/>
  <c r="H25"/>
  <c r="H28"/>
  <c r="H30"/>
  <c r="H31"/>
  <c r="H32"/>
  <c r="H36"/>
  <c r="H37"/>
  <c r="H38"/>
  <c r="H39"/>
  <c r="C3" l="1"/>
  <c r="C4"/>
  <c r="C38" i="4" l="1"/>
  <c r="G38" s="1"/>
  <c r="C37"/>
  <c r="G37" s="1"/>
  <c r="C36"/>
  <c r="G36" s="1"/>
  <c r="C35"/>
  <c r="G35" s="1"/>
  <c r="C34"/>
  <c r="C31"/>
  <c r="G31" s="1"/>
  <c r="C30"/>
  <c r="G30" s="1"/>
  <c r="C29"/>
  <c r="G29" s="1"/>
  <c r="C28"/>
  <c r="C27"/>
  <c r="G27" s="1"/>
  <c r="C24"/>
  <c r="G24" s="1"/>
  <c r="C23"/>
  <c r="G23" s="1"/>
  <c r="C22"/>
  <c r="G22" s="1"/>
  <c r="C21"/>
  <c r="C20"/>
  <c r="G20" s="1"/>
  <c r="C19"/>
  <c r="C18"/>
  <c r="C17"/>
  <c r="C14"/>
  <c r="G14" s="1"/>
  <c r="C13"/>
  <c r="G13" s="1"/>
  <c r="C12"/>
  <c r="G12" s="1"/>
  <c r="C11"/>
  <c r="C10"/>
  <c r="C7"/>
  <c r="G7" s="1"/>
  <c r="C6"/>
  <c r="G6" s="1"/>
  <c r="C5"/>
  <c r="G5" s="1"/>
  <c r="C4"/>
  <c r="G4" s="1"/>
  <c r="C3"/>
  <c r="G10"/>
  <c r="G11"/>
  <c r="G17"/>
  <c r="G18"/>
  <c r="G19"/>
  <c r="G21"/>
  <c r="G34" l="1"/>
  <c r="G46" s="1"/>
  <c r="E6" i="3" s="1"/>
  <c r="H35"/>
  <c r="G28" i="4"/>
  <c r="H29" i="3"/>
  <c r="G3" i="4"/>
</calcChain>
</file>

<file path=xl/sharedStrings.xml><?xml version="1.0" encoding="utf-8"?>
<sst xmlns="http://schemas.openxmlformats.org/spreadsheetml/2006/main" count="152" uniqueCount="115">
  <si>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</si>
  <si>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</si>
  <si>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</si>
  <si>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①</t>
  </si>
  <si>
    <t>②</t>
  </si>
  <si>
    <t>⑤</t>
  </si>
  <si>
    <t>問題2 日本語の意味として正しい中国語を1)～4)の中から1つ選びなさい。</t>
    <rPh sb="0" eb="2">
      <t>モンダイ</t>
    </rPh>
    <phoneticPr fontId="1"/>
  </si>
  <si>
    <t>問題3 次の日本語の意味に従って、言葉を並べ替えなさい。</t>
    <rPh sb="0" eb="2">
      <t>モンダイ</t>
    </rPh>
    <phoneticPr fontId="1"/>
  </si>
  <si>
    <t>⑥</t>
  </si>
  <si>
    <t>⑦</t>
  </si>
  <si>
    <t>⑧</t>
  </si>
  <si>
    <t>問題4 下の中国語の誤りを訂正しなさい。</t>
    <rPh sb="0" eb="2">
      <t>モンダイ</t>
    </rPh>
    <phoneticPr fontId="1"/>
  </si>
  <si>
    <t>問題5 下の短文を読んで、①～⑤までの質問をそれぞれの下に示してある1)～4)の中から１つ選んで、答えなさい。</t>
    <rPh sb="0" eb="2">
      <t>モンダイ</t>
    </rPh>
    <phoneticPr fontId="1"/>
  </si>
  <si>
    <t>問題1穴埋め問題の回答として、正しい中国語を1)～4)の中から1つ選びなさい。</t>
    <rPh sb="0" eb="2">
      <t>モンダイ</t>
    </rPh>
    <phoneticPr fontId="1"/>
  </si>
  <si>
    <t>合計</t>
    <phoneticPr fontId="11" type="noConversion"/>
  </si>
  <si>
    <t>問４　</t>
    <rPh sb="0" eb="1">
      <t>モン</t>
    </rPh>
    <phoneticPr fontId="1"/>
  </si>
  <si>
    <t>問３　</t>
    <rPh sb="0" eb="1">
      <t>モン</t>
    </rPh>
    <phoneticPr fontId="1"/>
  </si>
  <si>
    <t>問２　</t>
    <rPh sb="0" eb="1">
      <t>モン</t>
    </rPh>
    <phoneticPr fontId="1"/>
  </si>
  <si>
    <t>問１　</t>
    <rPh sb="0" eb="1">
      <t>モンツギカンジウエホウオト</t>
    </rPh>
    <phoneticPr fontId="1"/>
  </si>
  <si>
    <t>判定</t>
    <phoneticPr fontId="11" type="noConversion"/>
  </si>
  <si>
    <t>正解</t>
    <phoneticPr fontId="11" type="noConversion"/>
  </si>
  <si>
    <t>回答</t>
    <phoneticPr fontId="11" type="noConversion"/>
  </si>
  <si>
    <t>成績</t>
    <phoneticPr fontId="11" type="noConversion"/>
  </si>
  <si>
    <t>問5　</t>
    <rPh sb="0" eb="1">
      <t>モン</t>
    </rPh>
    <phoneticPr fontId="1"/>
  </si>
  <si>
    <t>読解第10課</t>
    <rPh sb="0" eb="2">
      <t>ドッカイ</t>
    </rPh>
    <rPh sb="2" eb="3">
      <t>ダイ</t>
    </rPh>
    <rPh sb="4" eb="5">
      <t>カ</t>
    </rPh>
    <phoneticPr fontId="1"/>
  </si>
  <si>
    <t>答え</t>
    <phoneticPr fontId="1"/>
  </si>
  <si>
    <t>①</t>
    <phoneticPr fontId="1"/>
  </si>
  <si>
    <t>从我家到学校</t>
  </si>
  <si>
    <t>半个小时。</t>
  </si>
  <si>
    <t>1) 需要  2) 必须  3) 可以  4) 能</t>
    <phoneticPr fontId="1"/>
  </si>
  <si>
    <t>②</t>
    <phoneticPr fontId="1"/>
  </si>
  <si>
    <t>明天你</t>
  </si>
  <si>
    <t>八点到，不能迟到。</t>
  </si>
  <si>
    <t>1) 需要  2) 必须  3) 可以  4) 能</t>
  </si>
  <si>
    <t>③</t>
    <phoneticPr fontId="1"/>
  </si>
  <si>
    <t>只</t>
  </si>
  <si>
    <t>你去，别人去不行。</t>
  </si>
  <si>
    <t>④</t>
    <phoneticPr fontId="1"/>
  </si>
  <si>
    <t>不用着急，今天的作业</t>
  </si>
  <si>
    <t>明天给我。</t>
  </si>
  <si>
    <t>⑤</t>
    <phoneticPr fontId="1"/>
  </si>
  <si>
    <t>我有课，不</t>
  </si>
  <si>
    <t>和你一起去。</t>
  </si>
  <si>
    <t>学校で専念して宿題を書くことができる。</t>
  </si>
  <si>
    <t>1) 在学校可以做好好作业。 2) 好好在学校可以做作业。</t>
  </si>
  <si>
    <t>3) 可以好好做作业在学校。 4) 在学校可以好好做作业。</t>
  </si>
  <si>
    <t>君たちが明日来なければならない。</t>
  </si>
  <si>
    <t>1) 必须明天你们来学校。 2) 你们明天必须来学校。</t>
  </si>
  <si>
    <t>3) 你们来学校必须明天。 4) 必须明天来你们学校。</t>
  </si>
  <si>
    <t>私はバスで学校へ来る。</t>
  </si>
  <si>
    <t>1) 来学校我坐公共汽车。 2) 我来学校坐公共汽车。</t>
  </si>
  <si>
    <t>3) 坐公共汽车我来学校。 4) 我坐公共汽车来学校。</t>
  </si>
  <si>
    <t>私だけが映画を見る。</t>
  </si>
  <si>
    <t>1) 我看电影只。  2) 我只看电影。</t>
  </si>
  <si>
    <t>3) 只我看电影。  4) 我看只电影。</t>
  </si>
  <si>
    <t>私は映画だけを見る。</t>
  </si>
  <si>
    <t>1) 我看电影只。  2) 我只看电影。</t>
    <phoneticPr fontId="1"/>
  </si>
  <si>
    <t>3) 只我看电影。  4) 我看只电影。</t>
    <phoneticPr fontId="1"/>
  </si>
  <si>
    <t>家から駅まで１時間半かかる。</t>
  </si>
  <si>
    <t>家 到 一个半 需要 车站 从 小时</t>
  </si>
  <si>
    <t>今日、宿題をやってからテレビを見る。</t>
  </si>
  <si>
    <t>做 再 电视 先 今天 作业 看</t>
  </si>
  <si>
    <t>今日、友達の家へ食事に行ってもいいか。</t>
  </si>
  <si>
    <t>吗 去 家 可以 朋友 吃饭 今天</t>
  </si>
  <si>
    <t>彼はただ京都へ行くだけで、大阪へは行かない。</t>
  </si>
  <si>
    <t>京都 大阪 他 去 去 只 不</t>
  </si>
  <si>
    <t>私の家では、ただ私一人だけが中国語を勉強する｡</t>
  </si>
  <si>
    <t>只 一个人 学习 家 我 我 中文</t>
  </si>
  <si>
    <t>鈴木さんと佐藤さんは、レストランへ餃子を食べに行く。</t>
  </si>
  <si>
    <t>铃木 佐藤 吃 去 和 饺子 饭馆儿</t>
  </si>
  <si>
    <t>铃木 今天 没吃过 吃 去 饺子 饺子 因为 所以</t>
  </si>
  <si>
    <t>今日の宿題は１時間もかからない。</t>
  </si>
  <si>
    <t>小时 的 用 今天 一个 不了 作业</t>
  </si>
  <si>
    <t>昨天晚上我一写完作业睡觉了。</t>
  </si>
  <si>
    <t>你只一个人去行吗？</t>
  </si>
  <si>
    <t>我一本中文词典可以买吗？</t>
  </si>
  <si>
    <t>从家到车站不用 10 分钟。</t>
  </si>
  <si>
    <t>只她吃饺子，不吃包子。</t>
    <phoneticPr fontId="1"/>
  </si>
  <si>
    <t>　　从星期一到星期五我每天都去学校。我每天 7 点 40 分从家出来，八
点 50 分到学校。先坐 20 分钟汽车，再走 10 分钟到名古屋车站。从名古
屋车站坐半个小时地铁，然后再走 10 分钟到学校。每天到学校以后，先
在教室学习一会儿，9 点半开始上课。我每天都有一节中文课。进大学
以后开始学中文，到现在已经学了三个月了。开始的时候觉得很难，但
现在觉得越学越有意思。</t>
    <phoneticPr fontId="1"/>
  </si>
  <si>
    <t>1) 四十分钟  2) 五十分钟</t>
  </si>
  <si>
    <t>3) 一个小时  4) 一个小时十分钟</t>
  </si>
  <si>
    <t>1) 十分钟    2) 二十分钟</t>
    <phoneticPr fontId="1"/>
  </si>
  <si>
    <t>3) 半个小时  4) 四十分钟</t>
  </si>
  <si>
    <t>1) 两节  2) 三节</t>
  </si>
  <si>
    <t>3) 四节  4) 五节</t>
  </si>
  <si>
    <t>1) 五月  2) 六月</t>
  </si>
  <si>
    <t>3) 七月  4) 八月</t>
    <phoneticPr fontId="1"/>
  </si>
  <si>
    <t>从家到车站需要一个半小时。</t>
    <phoneticPr fontId="11" type="noConversion"/>
  </si>
  <si>
    <t>今天先做作业再看电视。</t>
    <phoneticPr fontId="11" type="noConversion"/>
  </si>
  <si>
    <t>今天可以去朋友家吃饭吗?</t>
    <phoneticPr fontId="11" type="noConversion"/>
  </si>
  <si>
    <t>他只去京都，不去大阪。</t>
    <phoneticPr fontId="11" type="noConversion"/>
  </si>
  <si>
    <t>我家只我一个人学习中文。</t>
    <phoneticPr fontId="11" type="noConversion"/>
  </si>
  <si>
    <t>铃木和佐藤去饭馆儿吃饺子。</t>
    <phoneticPr fontId="11" type="noConversion"/>
  </si>
  <si>
    <t>因为铃木没吃过饺子，所以今天去吃饺子。</t>
    <phoneticPr fontId="11" type="noConversion"/>
  </si>
  <si>
    <t>铃木因为没吃过饺子，所以今天去吃饺子。</t>
    <phoneticPr fontId="11" type="noConversion"/>
  </si>
  <si>
    <t>今天的作业用不了一个小时。</t>
    <phoneticPr fontId="11" type="noConversion"/>
  </si>
  <si>
    <t>昨天晚上我一写完作业就睡觉了。</t>
    <phoneticPr fontId="11" type="noConversion"/>
  </si>
  <si>
    <t>只你一个人去行吗？</t>
    <phoneticPr fontId="11" type="noConversion"/>
  </si>
  <si>
    <t>我可以买一本中文词典吗？</t>
    <phoneticPr fontId="11" type="noConversion"/>
  </si>
  <si>
    <t>从家到车站用不了10分钟。</t>
    <phoneticPr fontId="11" type="noConversion"/>
  </si>
  <si>
    <t>她只吃饺子，不吃包子。</t>
    <phoneticPr fontId="11" type="noConversion"/>
  </si>
  <si>
    <t>日付</t>
    <phoneticPr fontId="11" type="noConversion"/>
  </si>
  <si>
    <t>学籍番号</t>
    <phoneticPr fontId="11" type="noConversion"/>
  </si>
  <si>
    <t>名前</t>
    <phoneticPr fontId="11" type="noConversion"/>
  </si>
  <si>
    <t>判定</t>
    <phoneticPr fontId="11" type="noConversion"/>
  </si>
  <si>
    <t>鈴木さんは餃子を食べたことはないので、今日餃子を食べに行く。</t>
    <phoneticPr fontId="1"/>
  </si>
  <si>
    <t>答え</t>
    <phoneticPr fontId="1"/>
  </si>
  <si>
    <t>答え</t>
    <phoneticPr fontId="1"/>
  </si>
  <si>
    <r>
      <rPr>
        <sz val="12"/>
        <color theme="1"/>
        <rFont val="ＭＳ Ｐゴシック"/>
        <family val="2"/>
      </rPr>
      <t>现</t>
    </r>
    <r>
      <rPr>
        <sz val="12"/>
        <color theme="1"/>
        <rFont val="MS Mincho"/>
        <family val="3"/>
        <charset val="128"/>
      </rPr>
      <t>在是几月？</t>
    </r>
  </si>
  <si>
    <t>④</t>
    <phoneticPr fontId="1"/>
  </si>
  <si>
    <r>
      <t>我</t>
    </r>
    <r>
      <rPr>
        <sz val="12"/>
        <color theme="1"/>
        <rFont val="ＭＳ Ｐゴシック"/>
        <family val="2"/>
      </rPr>
      <t>现</t>
    </r>
    <r>
      <rPr>
        <sz val="12"/>
        <color theme="1"/>
        <rFont val="MS Mincho"/>
        <family val="3"/>
        <charset val="128"/>
      </rPr>
      <t>在一个星期有几</t>
    </r>
    <r>
      <rPr>
        <sz val="12"/>
        <color theme="1"/>
        <rFont val="ＭＳ Ｐゴシック"/>
        <family val="2"/>
      </rPr>
      <t>节</t>
    </r>
    <r>
      <rPr>
        <sz val="12"/>
        <color theme="1"/>
        <rFont val="MS Mincho"/>
        <family val="3"/>
        <charset val="128"/>
      </rPr>
      <t>中文</t>
    </r>
    <r>
      <rPr>
        <sz val="12"/>
        <color theme="1"/>
        <rFont val="ＭＳ Ｐゴシック"/>
        <family val="2"/>
      </rPr>
      <t>课</t>
    </r>
    <r>
      <rPr>
        <sz val="12"/>
        <color theme="1"/>
        <rFont val="MS Mincho"/>
        <family val="3"/>
        <charset val="128"/>
      </rPr>
      <t>？</t>
    </r>
  </si>
  <si>
    <t>③</t>
    <phoneticPr fontId="1"/>
  </si>
  <si>
    <r>
      <t>我每天上第一</t>
    </r>
    <r>
      <rPr>
        <sz val="12"/>
        <color theme="1"/>
        <rFont val="ＭＳ Ｐゴシック"/>
        <family val="2"/>
      </rPr>
      <t>节课</t>
    </r>
    <r>
      <rPr>
        <sz val="12"/>
        <color theme="1"/>
        <rFont val="MS Mincho"/>
        <family val="3"/>
        <charset val="128"/>
      </rPr>
      <t>前，在教室能学</t>
    </r>
    <r>
      <rPr>
        <sz val="12"/>
        <color theme="1"/>
        <rFont val="ＭＳ Ｐゴシック"/>
        <family val="2"/>
      </rPr>
      <t>习</t>
    </r>
    <r>
      <rPr>
        <sz val="12"/>
        <color theme="1"/>
        <rFont val="MS Mincho"/>
        <family val="3"/>
        <charset val="128"/>
      </rPr>
      <t>多</t>
    </r>
    <r>
      <rPr>
        <sz val="12"/>
        <color theme="1"/>
        <rFont val="ＭＳ Ｐゴシック"/>
        <family val="2"/>
      </rPr>
      <t>长时间</t>
    </r>
    <r>
      <rPr>
        <sz val="12"/>
        <color theme="1"/>
        <rFont val="MS Mincho"/>
        <family val="3"/>
        <charset val="128"/>
      </rPr>
      <t>？</t>
    </r>
  </si>
  <si>
    <r>
      <t>我每天从家到学校走路的</t>
    </r>
    <r>
      <rPr>
        <sz val="12"/>
        <color theme="1"/>
        <rFont val="ＭＳ Ｐゴシック"/>
        <family val="2"/>
      </rPr>
      <t>时间</t>
    </r>
    <r>
      <rPr>
        <sz val="12"/>
        <color theme="1"/>
        <rFont val="MS Mincho"/>
        <family val="3"/>
        <charset val="128"/>
      </rPr>
      <t>一共是多</t>
    </r>
    <r>
      <rPr>
        <sz val="12"/>
        <color theme="1"/>
        <rFont val="ＭＳ Ｐゴシック"/>
        <family val="2"/>
      </rPr>
      <t>长时间</t>
    </r>
    <r>
      <rPr>
        <sz val="12"/>
        <color theme="1"/>
        <rFont val="MS Mincho"/>
        <family val="3"/>
        <charset val="128"/>
      </rPr>
      <t>？</t>
    </r>
  </si>
  <si>
    <r>
      <t>我从家里到学校一共需要多</t>
    </r>
    <r>
      <rPr>
        <sz val="12"/>
        <color theme="1"/>
        <rFont val="ＭＳ Ｐゴシック"/>
        <family val="2"/>
      </rPr>
      <t>长时间</t>
    </r>
    <r>
      <rPr>
        <sz val="12"/>
        <color theme="1"/>
        <rFont val="MS Mincho"/>
        <family val="3"/>
        <charset val="128"/>
      </rPr>
      <t>？</t>
    </r>
  </si>
</sst>
</file>

<file path=xl/styles.xml><?xml version="1.0" encoding="utf-8"?>
<styleSheet xmlns="http://schemas.openxmlformats.org/spreadsheetml/2006/main">
  <fonts count="20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SimSun"/>
      <family val="3"/>
      <charset val="134"/>
    </font>
    <font>
      <sz val="12"/>
      <color rgb="FFFF0000"/>
      <name val="SimSun"/>
      <family val="3"/>
      <charset val="134"/>
    </font>
    <font>
      <sz val="12"/>
      <name val="SimSun"/>
      <family val="3"/>
      <charset val="134"/>
    </font>
    <font>
      <sz val="12"/>
      <color theme="1"/>
      <name val="ＭＳ 明朝"/>
      <family val="1"/>
      <charset val="128"/>
    </font>
    <font>
      <sz val="12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2"/>
      <scheme val="minor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charset val="134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SimSun"/>
      <family val="3"/>
      <charset val="134"/>
    </font>
    <font>
      <b/>
      <sz val="11"/>
      <name val="ＭＳ 明朝"/>
      <family val="1"/>
      <charset val="128"/>
    </font>
    <font>
      <sz val="12"/>
      <color theme="1"/>
      <name val="MS Mincho"/>
      <family val="3"/>
      <charset val="128"/>
    </font>
    <font>
      <sz val="11"/>
      <color theme="1"/>
      <name val="MS Mincho"/>
      <family val="3"/>
      <charset val="128"/>
    </font>
    <font>
      <sz val="12"/>
      <color theme="1"/>
      <name val="ＭＳ Ｐゴシック"/>
      <family val="2"/>
    </font>
    <font>
      <sz val="12"/>
      <name val="MS Minch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6" fillId="0" borderId="0" xfId="0" applyFont="1" applyAlignment="1"/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9" fillId="0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/>
    <xf numFmtId="0" fontId="13" fillId="0" borderId="0" xfId="0" applyFont="1" applyAlignment="1"/>
    <xf numFmtId="0" fontId="13" fillId="0" borderId="0" xfId="0" applyFont="1"/>
    <xf numFmtId="0" fontId="14" fillId="2" borderId="0" xfId="0" applyFont="1" applyFill="1"/>
    <xf numFmtId="0" fontId="3" fillId="0" borderId="0" xfId="0" applyFont="1" applyBorder="1"/>
    <xf numFmtId="0" fontId="15" fillId="2" borderId="0" xfId="0" applyFont="1" applyFill="1"/>
    <xf numFmtId="9" fontId="0" fillId="0" borderId="0" xfId="0" applyNumberFormat="1"/>
    <xf numFmtId="0" fontId="16" fillId="0" borderId="0" xfId="0" applyFont="1"/>
    <xf numFmtId="0" fontId="17" fillId="0" borderId="0" xfId="0" applyFont="1"/>
    <xf numFmtId="0" fontId="16" fillId="0" borderId="0" xfId="0" applyFont="1" applyAlignment="1"/>
    <xf numFmtId="0" fontId="19" fillId="0" borderId="0" xfId="0" applyFont="1"/>
    <xf numFmtId="0" fontId="16" fillId="0" borderId="0" xfId="0" applyFont="1" applyBorder="1"/>
    <xf numFmtId="0" fontId="16" fillId="0" borderId="0" xfId="0" applyFont="1" applyAlignment="1">
      <alignment horizontal="left" vertical="center"/>
    </xf>
    <xf numFmtId="0" fontId="0" fillId="3" borderId="0" xfId="0" applyFill="1" applyAlignment="1"/>
    <xf numFmtId="0" fontId="0" fillId="3" borderId="0" xfId="0" applyFill="1"/>
    <xf numFmtId="0" fontId="13" fillId="3" borderId="0" xfId="0" applyFont="1" applyFill="1"/>
    <xf numFmtId="0" fontId="12" fillId="3" borderId="0" xfId="0" applyFont="1" applyFill="1" applyAlignment="1"/>
    <xf numFmtId="0" fontId="13" fillId="3" borderId="0" xfId="0" applyFont="1" applyFill="1" applyAlignment="1"/>
    <xf numFmtId="0" fontId="1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3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E84"/>
  <sheetViews>
    <sheetView tabSelected="1" zoomScale="175" zoomScaleNormal="175" workbookViewId="0">
      <selection activeCell="E70" sqref="E70:F70"/>
    </sheetView>
  </sheetViews>
  <sheetFormatPr defaultRowHeight="14.25"/>
  <cols>
    <col min="1" max="1" width="1.875" style="9" customWidth="1"/>
    <col min="2" max="31" width="2.625" style="9" customWidth="1"/>
  </cols>
  <sheetData>
    <row r="1" spans="1:31">
      <c r="B1" s="5" t="s">
        <v>24</v>
      </c>
      <c r="C1" s="5"/>
      <c r="D1" s="5"/>
      <c r="E1" s="5"/>
      <c r="F1" s="5"/>
      <c r="G1" s="5"/>
      <c r="H1" s="5"/>
      <c r="I1" s="5"/>
      <c r="J1" s="51" t="s">
        <v>2</v>
      </c>
      <c r="K1" s="51"/>
      <c r="L1" s="52"/>
      <c r="M1" s="52"/>
      <c r="N1" s="53"/>
      <c r="O1" s="53"/>
      <c r="P1" s="53"/>
      <c r="Q1" s="53"/>
      <c r="R1" s="53"/>
      <c r="S1" s="53"/>
      <c r="T1" s="53"/>
      <c r="U1" s="5"/>
    </row>
    <row r="2" spans="1:31" ht="19.5" customHeight="1">
      <c r="B2" s="54" t="s">
        <v>0</v>
      </c>
      <c r="C2" s="54"/>
      <c r="D2" s="54"/>
      <c r="E2" s="55"/>
      <c r="F2" s="55"/>
      <c r="G2" s="55"/>
      <c r="H2" s="55"/>
      <c r="I2" s="55"/>
      <c r="J2" s="55"/>
      <c r="K2" s="5"/>
      <c r="L2" s="24" t="s">
        <v>1</v>
      </c>
      <c r="M2" s="5"/>
      <c r="N2" s="55"/>
      <c r="O2" s="55"/>
      <c r="P2" s="55"/>
      <c r="Q2" s="55"/>
      <c r="R2" s="55"/>
      <c r="S2" s="55"/>
      <c r="T2" s="55"/>
      <c r="U2" s="55"/>
    </row>
    <row r="3" spans="1:31" ht="18" customHeight="1">
      <c r="B3" s="10" t="s">
        <v>13</v>
      </c>
      <c r="C3" s="11"/>
      <c r="D3" s="11"/>
      <c r="E3" s="25"/>
      <c r="F3" s="25"/>
      <c r="G3" s="25"/>
      <c r="H3" s="25"/>
      <c r="I3" s="25"/>
      <c r="J3" s="25"/>
      <c r="L3" s="11"/>
      <c r="N3" s="25"/>
      <c r="O3" s="25"/>
      <c r="P3" s="25"/>
      <c r="Q3" s="25"/>
      <c r="R3" s="25"/>
      <c r="S3" s="25"/>
      <c r="T3" s="25"/>
      <c r="U3" s="25"/>
    </row>
    <row r="4" spans="1:31" ht="13.5" customHeight="1">
      <c r="B4" s="12"/>
      <c r="C4" s="13" t="s">
        <v>25</v>
      </c>
      <c r="E4" s="46"/>
      <c r="F4" s="46"/>
      <c r="H4" s="10" t="s">
        <v>26</v>
      </c>
      <c r="I4" s="4" t="s">
        <v>27</v>
      </c>
      <c r="J4" s="4"/>
      <c r="K4" s="4"/>
      <c r="L4" s="4"/>
      <c r="M4" s="4"/>
      <c r="N4" s="17"/>
      <c r="O4" s="15"/>
      <c r="P4" s="15"/>
      <c r="Q4" s="14"/>
      <c r="R4" s="4" t="s">
        <v>28</v>
      </c>
      <c r="S4" s="4"/>
      <c r="T4" s="4"/>
      <c r="U4" s="4"/>
      <c r="V4" s="4"/>
      <c r="W4" s="4"/>
      <c r="X4" s="4"/>
    </row>
    <row r="5" spans="1:31" s="20" customFormat="1" ht="13.5" customHeight="1">
      <c r="A5" s="1"/>
      <c r="B5" s="4"/>
      <c r="C5" s="4"/>
      <c r="D5" s="3"/>
      <c r="E5" s="1"/>
      <c r="F5" s="1"/>
      <c r="G5" s="1"/>
      <c r="H5" s="3"/>
      <c r="I5" s="4" t="s">
        <v>29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2"/>
      <c r="Z5" s="1"/>
      <c r="AA5" s="1"/>
      <c r="AB5" s="1"/>
      <c r="AC5" s="1"/>
      <c r="AD5" s="1"/>
      <c r="AE5" s="1"/>
    </row>
    <row r="6" spans="1:31" ht="13.5" customHeight="1">
      <c r="B6" s="12"/>
      <c r="C6" s="13" t="s">
        <v>25</v>
      </c>
      <c r="E6" s="46"/>
      <c r="F6" s="46"/>
      <c r="H6" s="10" t="s">
        <v>30</v>
      </c>
      <c r="I6" s="4" t="s">
        <v>31</v>
      </c>
      <c r="J6" s="4"/>
      <c r="K6" s="4"/>
      <c r="L6" s="50"/>
      <c r="M6" s="50"/>
      <c r="N6" s="50"/>
      <c r="O6" s="4" t="s">
        <v>32</v>
      </c>
      <c r="P6" s="4"/>
      <c r="Q6" s="4"/>
      <c r="R6" s="4"/>
      <c r="S6" s="4"/>
      <c r="T6" s="4"/>
      <c r="U6" s="4"/>
      <c r="V6" s="4"/>
      <c r="W6" s="4"/>
      <c r="X6" s="4"/>
    </row>
    <row r="7" spans="1:31" s="20" customFormat="1" ht="13.5" customHeight="1">
      <c r="A7" s="1"/>
      <c r="B7" s="4"/>
      <c r="C7" s="4"/>
      <c r="D7" s="1"/>
      <c r="E7" s="1"/>
      <c r="F7" s="1"/>
      <c r="G7" s="1"/>
      <c r="H7" s="3"/>
      <c r="I7" s="4" t="s">
        <v>33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"/>
      <c r="Z7" s="1"/>
      <c r="AA7" s="1"/>
      <c r="AB7" s="1"/>
      <c r="AC7" s="1"/>
      <c r="AD7" s="1"/>
      <c r="AE7" s="1"/>
    </row>
    <row r="8" spans="1:31" ht="13.5" customHeight="1">
      <c r="B8" s="12"/>
      <c r="C8" s="13" t="s">
        <v>25</v>
      </c>
      <c r="E8" s="46"/>
      <c r="F8" s="46"/>
      <c r="H8" s="10" t="s">
        <v>34</v>
      </c>
      <c r="I8" s="4" t="s">
        <v>35</v>
      </c>
      <c r="J8" s="50"/>
      <c r="K8" s="50"/>
      <c r="L8" s="50"/>
      <c r="M8" s="4" t="s">
        <v>36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31" ht="13.5" customHeight="1">
      <c r="B9" s="12"/>
      <c r="C9" s="12"/>
      <c r="D9" s="16"/>
      <c r="H9" s="3"/>
      <c r="I9" s="4" t="s">
        <v>33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31" ht="13.5" customHeight="1">
      <c r="B10" s="12"/>
      <c r="C10" s="13" t="s">
        <v>25</v>
      </c>
      <c r="E10" s="46"/>
      <c r="F10" s="46"/>
      <c r="H10" s="10" t="s">
        <v>37</v>
      </c>
      <c r="I10" s="4" t="s">
        <v>38</v>
      </c>
      <c r="J10" s="4"/>
      <c r="K10" s="4"/>
      <c r="L10" s="4"/>
      <c r="M10" s="4"/>
      <c r="N10" s="4"/>
      <c r="O10" s="4"/>
      <c r="P10" s="4"/>
      <c r="Q10" s="17"/>
      <c r="R10" s="15"/>
      <c r="S10" s="15"/>
      <c r="T10" s="14"/>
      <c r="U10" s="4" t="s">
        <v>39</v>
      </c>
      <c r="V10" s="4"/>
      <c r="W10" s="4"/>
      <c r="X10" s="4"/>
    </row>
    <row r="11" spans="1:31" ht="13.5" customHeight="1">
      <c r="B11" s="12"/>
      <c r="C11" s="12"/>
      <c r="D11" s="16"/>
      <c r="H11" s="3"/>
      <c r="I11" s="4" t="s">
        <v>33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31" ht="13.5" customHeight="1">
      <c r="B12" s="12"/>
      <c r="C12" s="13" t="s">
        <v>25</v>
      </c>
      <c r="E12" s="46"/>
      <c r="F12" s="46"/>
      <c r="H12" s="10" t="s">
        <v>40</v>
      </c>
      <c r="I12" s="4" t="s">
        <v>41</v>
      </c>
      <c r="J12" s="4"/>
      <c r="K12" s="4"/>
      <c r="L12" s="4"/>
      <c r="M12" s="17"/>
      <c r="N12" s="15"/>
      <c r="O12" s="15"/>
      <c r="P12" s="14"/>
      <c r="Q12" s="4" t="s">
        <v>42</v>
      </c>
      <c r="R12" s="4"/>
      <c r="S12" s="4"/>
      <c r="T12" s="4"/>
      <c r="U12" s="4"/>
      <c r="V12" s="4"/>
      <c r="W12" s="4"/>
      <c r="X12" s="4"/>
      <c r="Y12" s="12"/>
      <c r="AA12" s="47"/>
      <c r="AB12" s="47"/>
    </row>
    <row r="13" spans="1:31" ht="13.5" customHeight="1">
      <c r="B13" s="12"/>
      <c r="C13" s="12"/>
      <c r="D13" s="11"/>
      <c r="H13" s="3"/>
      <c r="I13" s="4" t="s">
        <v>33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25"/>
      <c r="AA13" s="18"/>
    </row>
    <row r="14" spans="1:31" ht="13.5" customHeight="1">
      <c r="B14" s="10" t="s">
        <v>6</v>
      </c>
      <c r="C14" s="26"/>
      <c r="D14" s="26"/>
      <c r="E14" s="11"/>
    </row>
    <row r="15" spans="1:31" ht="13.5" customHeight="1">
      <c r="B15" s="12"/>
      <c r="C15" s="13" t="s">
        <v>25</v>
      </c>
      <c r="E15" s="46"/>
      <c r="F15" s="46"/>
      <c r="H15" s="10" t="s">
        <v>26</v>
      </c>
      <c r="I15" s="5" t="s">
        <v>43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31" s="20" customFormat="1" ht="13.5" customHeight="1">
      <c r="A16" s="1"/>
      <c r="B16" s="4"/>
      <c r="C16" s="4"/>
      <c r="D16" s="21"/>
      <c r="E16" s="1"/>
      <c r="F16" s="1"/>
      <c r="G16" s="1"/>
      <c r="H16" s="1"/>
      <c r="I16" s="1" t="s">
        <v>44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1"/>
      <c r="AC16" s="1"/>
      <c r="AD16" s="1"/>
      <c r="AE16" s="1"/>
    </row>
    <row r="17" spans="1:31" s="20" customFormat="1" ht="13.5" customHeight="1">
      <c r="A17" s="1"/>
      <c r="B17" s="4"/>
      <c r="C17" s="4"/>
      <c r="D17" s="21"/>
      <c r="E17" s="1"/>
      <c r="F17" s="1"/>
      <c r="G17" s="1"/>
      <c r="H17" s="1"/>
      <c r="I17" s="1" t="s">
        <v>45</v>
      </c>
      <c r="J17" s="6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"/>
      <c r="AC17" s="1"/>
      <c r="AD17" s="1"/>
      <c r="AE17" s="1"/>
    </row>
    <row r="18" spans="1:31" ht="13.5" customHeight="1">
      <c r="B18" s="12"/>
      <c r="C18" s="13" t="s">
        <v>25</v>
      </c>
      <c r="E18" s="46"/>
      <c r="F18" s="46"/>
      <c r="H18" s="10" t="s">
        <v>30</v>
      </c>
      <c r="I18" s="5" t="s">
        <v>46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31" s="20" customFormat="1" ht="13.5" customHeight="1">
      <c r="A19" s="1"/>
      <c r="B19" s="4"/>
      <c r="C19" s="4"/>
      <c r="D19" s="21"/>
      <c r="E19" s="1"/>
      <c r="F19" s="1"/>
      <c r="G19" s="1"/>
      <c r="H19" s="1"/>
      <c r="I19" s="1" t="s">
        <v>47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"/>
      <c r="AC19" s="1"/>
      <c r="AD19" s="1"/>
      <c r="AE19" s="1"/>
    </row>
    <row r="20" spans="1:31" s="20" customFormat="1" ht="13.5" customHeight="1">
      <c r="A20" s="1"/>
      <c r="B20" s="4"/>
      <c r="C20" s="4"/>
      <c r="D20" s="21"/>
      <c r="E20" s="1"/>
      <c r="F20" s="1"/>
      <c r="G20" s="1"/>
      <c r="H20" s="1"/>
      <c r="I20" s="1" t="s">
        <v>48</v>
      </c>
      <c r="J20" s="6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"/>
      <c r="AC20" s="1"/>
      <c r="AD20" s="1"/>
      <c r="AE20" s="1"/>
    </row>
    <row r="21" spans="1:31" ht="13.5" customHeight="1">
      <c r="B21" s="12"/>
      <c r="C21" s="13" t="s">
        <v>25</v>
      </c>
      <c r="E21" s="46"/>
      <c r="F21" s="46"/>
      <c r="H21" s="10" t="s">
        <v>34</v>
      </c>
      <c r="I21" s="5" t="s">
        <v>49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31" s="20" customFormat="1" ht="13.5" customHeight="1">
      <c r="A22" s="1"/>
      <c r="B22" s="4"/>
      <c r="C22" s="4"/>
      <c r="D22" s="21"/>
      <c r="E22" s="1"/>
      <c r="F22" s="1"/>
      <c r="G22" s="1"/>
      <c r="H22" s="1"/>
      <c r="I22" s="1" t="s">
        <v>50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1"/>
      <c r="AC22" s="1"/>
      <c r="AD22" s="1"/>
      <c r="AE22" s="1"/>
    </row>
    <row r="23" spans="1:31" s="20" customFormat="1" ht="13.5" customHeight="1">
      <c r="A23" s="1"/>
      <c r="B23" s="4"/>
      <c r="C23" s="4"/>
      <c r="D23" s="21"/>
      <c r="E23" s="1"/>
      <c r="F23" s="1"/>
      <c r="G23" s="1"/>
      <c r="H23" s="1"/>
      <c r="I23" s="1" t="s">
        <v>51</v>
      </c>
      <c r="J23" s="6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"/>
      <c r="AC23" s="1"/>
      <c r="AD23" s="1"/>
      <c r="AE23" s="1"/>
    </row>
    <row r="24" spans="1:31" ht="13.5" customHeight="1">
      <c r="B24" s="12"/>
      <c r="C24" s="13" t="s">
        <v>25</v>
      </c>
      <c r="E24" s="46"/>
      <c r="F24" s="46"/>
      <c r="H24" s="10" t="s">
        <v>37</v>
      </c>
      <c r="I24" s="5" t="s">
        <v>52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31" s="20" customFormat="1" ht="13.5" customHeight="1">
      <c r="A25" s="1"/>
      <c r="B25" s="4"/>
      <c r="C25" s="4"/>
      <c r="D25" s="21"/>
      <c r="E25" s="1"/>
      <c r="F25" s="1"/>
      <c r="G25" s="1"/>
      <c r="H25" s="1"/>
      <c r="I25" s="1" t="s">
        <v>53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1"/>
      <c r="AC25" s="1"/>
      <c r="AD25" s="1"/>
      <c r="AE25" s="1"/>
    </row>
    <row r="26" spans="1:31" s="20" customFormat="1" ht="13.5" customHeight="1">
      <c r="A26" s="1"/>
      <c r="B26" s="4"/>
      <c r="C26" s="4"/>
      <c r="D26" s="21"/>
      <c r="E26" s="1"/>
      <c r="F26" s="1"/>
      <c r="G26" s="1"/>
      <c r="H26" s="1"/>
      <c r="I26" s="1" t="s">
        <v>54</v>
      </c>
      <c r="J26" s="6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1"/>
      <c r="AC26" s="1"/>
      <c r="AD26" s="1"/>
      <c r="AE26" s="1"/>
    </row>
    <row r="27" spans="1:31" ht="13.5" customHeight="1">
      <c r="B27" s="12"/>
      <c r="C27" s="13" t="s">
        <v>25</v>
      </c>
      <c r="E27" s="46"/>
      <c r="F27" s="46"/>
      <c r="H27" s="10" t="s">
        <v>40</v>
      </c>
      <c r="I27" s="5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31" s="20" customFormat="1" ht="13.5" customHeight="1">
      <c r="A28" s="1"/>
      <c r="B28" s="4"/>
      <c r="C28" s="4"/>
      <c r="D28" s="21"/>
      <c r="E28" s="1"/>
      <c r="F28" s="1"/>
      <c r="G28" s="1"/>
      <c r="H28" s="22"/>
      <c r="I28" s="1" t="s">
        <v>56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1"/>
      <c r="AC28" s="1"/>
      <c r="AD28" s="1"/>
      <c r="AE28" s="1"/>
    </row>
    <row r="29" spans="1:31" s="20" customFormat="1" ht="13.5" customHeight="1">
      <c r="A29" s="1"/>
      <c r="B29" s="4"/>
      <c r="C29" s="4"/>
      <c r="D29" s="21"/>
      <c r="E29" s="1"/>
      <c r="F29" s="1"/>
      <c r="G29" s="1"/>
      <c r="H29" s="22"/>
      <c r="I29" s="1" t="s">
        <v>57</v>
      </c>
      <c r="J29" s="6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1"/>
      <c r="AC29" s="1"/>
      <c r="AD29" s="1"/>
      <c r="AE29" s="1"/>
    </row>
    <row r="30" spans="1:31">
      <c r="B30" s="5" t="s">
        <v>7</v>
      </c>
    </row>
    <row r="31" spans="1:31">
      <c r="C31" s="10" t="s">
        <v>26</v>
      </c>
      <c r="D31" s="5" t="s">
        <v>58</v>
      </c>
    </row>
    <row r="32" spans="1:31" s="20" customFormat="1">
      <c r="A32" s="1"/>
      <c r="B32" s="1"/>
      <c r="C32" s="1"/>
      <c r="D32" s="1" t="s">
        <v>59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s="20" customFormat="1">
      <c r="A33" s="1"/>
      <c r="B33" s="1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1"/>
      <c r="Y33" s="1"/>
      <c r="Z33" s="1"/>
      <c r="AA33" s="1"/>
      <c r="AB33" s="1"/>
      <c r="AC33" s="1"/>
      <c r="AD33" s="1"/>
      <c r="AE33" s="1"/>
    </row>
    <row r="34" spans="1:31">
      <c r="C34" s="10" t="s">
        <v>30</v>
      </c>
      <c r="D34" s="5" t="s">
        <v>60</v>
      </c>
    </row>
    <row r="35" spans="1:31" s="20" customFormat="1">
      <c r="A35" s="1"/>
      <c r="B35" s="1"/>
      <c r="C35" s="1"/>
      <c r="D35" s="1" t="s">
        <v>61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s="20" customFormat="1">
      <c r="A36" s="1"/>
      <c r="B36" s="1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1"/>
      <c r="Y36" s="1"/>
      <c r="Z36" s="1"/>
      <c r="AA36" s="1"/>
      <c r="AB36" s="1"/>
      <c r="AC36" s="1"/>
      <c r="AD36" s="1"/>
      <c r="AE36" s="1"/>
    </row>
    <row r="37" spans="1:31">
      <c r="C37" s="10" t="s">
        <v>34</v>
      </c>
      <c r="D37" s="5" t="s">
        <v>62</v>
      </c>
    </row>
    <row r="38" spans="1:31" s="20" customFormat="1">
      <c r="A38" s="1"/>
      <c r="B38" s="1"/>
      <c r="C38" s="1"/>
      <c r="D38" s="1" t="s">
        <v>63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s="20" customFormat="1">
      <c r="A39" s="1"/>
      <c r="B39" s="1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1"/>
      <c r="Y39" s="1"/>
      <c r="Z39" s="1"/>
      <c r="AA39" s="1"/>
      <c r="AB39" s="1"/>
      <c r="AC39" s="1"/>
      <c r="AD39" s="1"/>
      <c r="AE39" s="1"/>
    </row>
    <row r="40" spans="1:31">
      <c r="C40" s="10" t="s">
        <v>37</v>
      </c>
      <c r="D40" s="5" t="s">
        <v>64</v>
      </c>
    </row>
    <row r="41" spans="1:31" s="20" customFormat="1">
      <c r="A41" s="1"/>
      <c r="B41" s="1"/>
      <c r="C41" s="1"/>
      <c r="D41" s="1" t="s">
        <v>65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s="20" customFormat="1">
      <c r="A42" s="1"/>
      <c r="B42" s="1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1"/>
      <c r="Y42" s="1"/>
      <c r="Z42" s="1"/>
      <c r="AA42" s="1"/>
      <c r="AB42" s="1"/>
      <c r="AC42" s="1"/>
      <c r="AD42" s="1"/>
      <c r="AE42" s="1"/>
    </row>
    <row r="43" spans="1:31">
      <c r="C43" s="5" t="s">
        <v>5</v>
      </c>
      <c r="D43" s="5" t="s">
        <v>66</v>
      </c>
    </row>
    <row r="44" spans="1:31" s="20" customFormat="1">
      <c r="A44" s="1"/>
      <c r="B44" s="1"/>
      <c r="C44" s="1"/>
      <c r="D44" s="1" t="s">
        <v>67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s="20" customFormat="1">
      <c r="A45" s="1"/>
      <c r="B45" s="1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1"/>
      <c r="Y45" s="1"/>
      <c r="Z45" s="1"/>
      <c r="AA45" s="1"/>
      <c r="AB45" s="1"/>
      <c r="AC45" s="1"/>
      <c r="AD45" s="1"/>
      <c r="AE45" s="1"/>
    </row>
    <row r="46" spans="1:31">
      <c r="C46" s="5" t="s">
        <v>8</v>
      </c>
      <c r="D46" s="5" t="s">
        <v>68</v>
      </c>
    </row>
    <row r="47" spans="1:31" s="20" customFormat="1">
      <c r="A47" s="1"/>
      <c r="B47" s="1"/>
      <c r="C47" s="1"/>
      <c r="D47" s="1" t="s">
        <v>69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s="20" customFormat="1">
      <c r="A48" s="1"/>
      <c r="B48" s="1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1"/>
      <c r="Y48" s="1"/>
      <c r="Z48" s="1"/>
      <c r="AA48" s="1"/>
      <c r="AB48" s="1"/>
      <c r="AC48" s="1"/>
      <c r="AD48" s="1"/>
      <c r="AE48" s="1"/>
    </row>
    <row r="49" spans="1:31" s="35" customFormat="1">
      <c r="A49" s="34"/>
      <c r="B49" s="34"/>
      <c r="C49" s="34" t="s">
        <v>9</v>
      </c>
      <c r="D49" s="34" t="s">
        <v>105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</row>
    <row r="50" spans="1:31" s="20" customFormat="1">
      <c r="A50" s="1"/>
      <c r="B50" s="1"/>
      <c r="C50" s="1"/>
      <c r="D50" s="1" t="s">
        <v>70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s="20" customFormat="1">
      <c r="A51" s="1"/>
      <c r="B51" s="1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1"/>
      <c r="Y51" s="1"/>
      <c r="Z51" s="1"/>
      <c r="AA51" s="1"/>
      <c r="AB51" s="1"/>
      <c r="AC51" s="1"/>
      <c r="AD51" s="1"/>
      <c r="AE51" s="1"/>
    </row>
    <row r="52" spans="1:31">
      <c r="C52" s="5" t="s">
        <v>10</v>
      </c>
      <c r="D52" s="5" t="s">
        <v>71</v>
      </c>
    </row>
    <row r="53" spans="1:31" s="20" customFormat="1">
      <c r="A53" s="1"/>
      <c r="B53" s="1"/>
      <c r="C53" s="1"/>
      <c r="D53" s="1" t="s">
        <v>72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20" customFormat="1">
      <c r="A54" s="1"/>
      <c r="B54" s="1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1"/>
      <c r="Y54" s="1"/>
      <c r="Z54" s="1"/>
      <c r="AA54" s="1"/>
      <c r="AB54" s="1"/>
      <c r="AC54" s="1"/>
      <c r="AD54" s="1"/>
      <c r="AE54" s="1"/>
    </row>
    <row r="55" spans="1:31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1:31">
      <c r="B56" s="5" t="s">
        <v>11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</row>
    <row r="57" spans="1:31" s="20" customFormat="1">
      <c r="A57" s="1"/>
      <c r="B57" s="1"/>
      <c r="C57" s="1" t="s">
        <v>3</v>
      </c>
      <c r="D57" s="1" t="s">
        <v>73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1"/>
      <c r="Y57" s="1"/>
      <c r="Z57" s="1"/>
      <c r="AA57" s="1"/>
      <c r="AB57" s="1"/>
      <c r="AC57" s="1"/>
      <c r="AD57" s="1"/>
      <c r="AE57" s="1"/>
    </row>
    <row r="58" spans="1:31" s="20" customFormat="1">
      <c r="A58" s="1"/>
      <c r="B58" s="1"/>
      <c r="C58" s="21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1"/>
      <c r="Z58" s="1"/>
      <c r="AA58" s="1"/>
      <c r="AB58" s="1"/>
      <c r="AC58" s="1"/>
      <c r="AD58" s="1"/>
      <c r="AE58" s="1"/>
    </row>
    <row r="59" spans="1:31" s="20" customFormat="1">
      <c r="A59" s="1"/>
      <c r="B59" s="1"/>
      <c r="C59" s="23" t="s">
        <v>30</v>
      </c>
      <c r="D59" s="1" t="s">
        <v>74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20" customFormat="1">
      <c r="A60" s="1"/>
      <c r="B60" s="1"/>
      <c r="C60" s="1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1"/>
      <c r="Z60" s="1"/>
      <c r="AA60" s="1"/>
      <c r="AB60" s="1"/>
      <c r="AC60" s="1"/>
      <c r="AD60" s="1"/>
      <c r="AE60" s="1"/>
    </row>
    <row r="61" spans="1:31" s="20" customFormat="1">
      <c r="A61" s="1"/>
      <c r="B61" s="1"/>
      <c r="C61" s="23" t="s">
        <v>34</v>
      </c>
      <c r="D61" s="1" t="s">
        <v>75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20" customFormat="1">
      <c r="A62" s="1"/>
      <c r="B62" s="1"/>
      <c r="C62" s="23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1"/>
      <c r="Z62" s="1"/>
      <c r="AA62" s="1"/>
      <c r="AB62" s="1"/>
      <c r="AC62" s="1"/>
      <c r="AD62" s="1"/>
      <c r="AE62" s="1"/>
    </row>
    <row r="63" spans="1:31" s="20" customFormat="1">
      <c r="A63" s="1"/>
      <c r="B63" s="1"/>
      <c r="C63" s="23" t="s">
        <v>37</v>
      </c>
      <c r="D63" s="1" t="s">
        <v>76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20" customFormat="1">
      <c r="A64" s="1"/>
      <c r="B64" s="1"/>
      <c r="C64" s="23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1"/>
      <c r="Z64" s="1"/>
      <c r="AA64" s="1"/>
      <c r="AB64" s="1"/>
      <c r="AC64" s="1"/>
      <c r="AD64" s="1"/>
      <c r="AE64" s="1"/>
    </row>
    <row r="65" spans="1:31" s="20" customFormat="1">
      <c r="A65" s="1"/>
      <c r="B65" s="1"/>
      <c r="C65" s="1" t="s">
        <v>5</v>
      </c>
      <c r="D65" s="1" t="s">
        <v>77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20" customFormat="1">
      <c r="A66" s="1"/>
      <c r="B66" s="1"/>
      <c r="C66" s="23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1"/>
      <c r="Z66" s="1"/>
      <c r="AA66" s="1"/>
      <c r="AB66" s="1"/>
      <c r="AC66" s="1"/>
      <c r="AD66" s="1"/>
      <c r="AE66" s="1"/>
    </row>
    <row r="67" spans="1:31" ht="9" customHeight="1">
      <c r="C67" s="16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spans="1:31" ht="26.25" customHeight="1">
      <c r="B68" s="49" t="s">
        <v>12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 spans="1:31" ht="93" customHeight="1">
      <c r="B69" s="48" t="s">
        <v>78</v>
      </c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</row>
    <row r="70" spans="1:31" s="35" customFormat="1">
      <c r="A70" s="34"/>
      <c r="B70" s="34"/>
      <c r="C70" s="36" t="s">
        <v>107</v>
      </c>
      <c r="D70" s="34"/>
      <c r="E70" s="45"/>
      <c r="F70" s="45"/>
      <c r="G70" s="34"/>
      <c r="H70" s="34" t="s">
        <v>3</v>
      </c>
      <c r="I70" s="34" t="s">
        <v>114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4"/>
      <c r="X70" s="34"/>
      <c r="Y70" s="38"/>
      <c r="Z70" s="38"/>
      <c r="AA70" s="38"/>
      <c r="AB70" s="34"/>
      <c r="AC70" s="34"/>
      <c r="AD70" s="34"/>
      <c r="AE70" s="34"/>
    </row>
    <row r="71" spans="1:31" s="20" customFormat="1">
      <c r="A71" s="1"/>
      <c r="B71" s="4"/>
      <c r="C71" s="4"/>
      <c r="D71" s="6"/>
      <c r="E71" s="1"/>
      <c r="F71" s="1"/>
      <c r="G71" s="1"/>
      <c r="H71" s="6"/>
      <c r="I71" s="1" t="s">
        <v>79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1"/>
      <c r="AA71" s="1"/>
      <c r="AB71" s="1"/>
      <c r="AC71" s="1"/>
      <c r="AD71" s="1"/>
      <c r="AE71" s="1"/>
    </row>
    <row r="72" spans="1:31" s="20" customFormat="1">
      <c r="A72" s="1"/>
      <c r="B72" s="4"/>
      <c r="C72" s="4"/>
      <c r="D72" s="6"/>
      <c r="E72" s="1"/>
      <c r="F72" s="1"/>
      <c r="G72" s="1"/>
      <c r="H72" s="6"/>
      <c r="I72" s="1" t="s">
        <v>80</v>
      </c>
      <c r="J72" s="6"/>
      <c r="K72" s="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1"/>
      <c r="AA72" s="1"/>
      <c r="AB72" s="1"/>
      <c r="AC72" s="1"/>
      <c r="AD72" s="1"/>
      <c r="AE72" s="1"/>
    </row>
    <row r="73" spans="1:31" s="35" customFormat="1">
      <c r="A73" s="34"/>
      <c r="B73" s="36"/>
      <c r="C73" s="36" t="s">
        <v>106</v>
      </c>
      <c r="D73" s="34"/>
      <c r="E73" s="45"/>
      <c r="F73" s="45"/>
      <c r="G73" s="34"/>
      <c r="H73" s="34" t="s">
        <v>4</v>
      </c>
      <c r="I73" s="34" t="s">
        <v>113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4"/>
      <c r="X73" s="34"/>
      <c r="Y73" s="38"/>
      <c r="Z73" s="38"/>
      <c r="AA73" s="38"/>
      <c r="AB73" s="38"/>
      <c r="AC73" s="38"/>
      <c r="AD73" s="34"/>
      <c r="AE73" s="34"/>
    </row>
    <row r="74" spans="1:31" s="20" customFormat="1">
      <c r="A74" s="1"/>
      <c r="B74" s="4"/>
      <c r="C74" s="4"/>
      <c r="D74" s="6"/>
      <c r="E74" s="1"/>
      <c r="F74" s="1"/>
      <c r="G74" s="1"/>
      <c r="H74" s="6"/>
      <c r="I74" s="1" t="s">
        <v>81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1"/>
      <c r="X74" s="1"/>
      <c r="Y74" s="1"/>
      <c r="Z74" s="1"/>
      <c r="AA74" s="1"/>
      <c r="AB74" s="1"/>
      <c r="AC74" s="1"/>
      <c r="AD74" s="1"/>
      <c r="AE74" s="1"/>
    </row>
    <row r="75" spans="1:31" s="20" customFormat="1">
      <c r="A75" s="1"/>
      <c r="B75" s="4"/>
      <c r="C75" s="4"/>
      <c r="D75" s="6"/>
      <c r="E75" s="1"/>
      <c r="F75" s="1"/>
      <c r="G75" s="1"/>
      <c r="H75" s="6"/>
      <c r="I75" s="1" t="s">
        <v>82</v>
      </c>
      <c r="J75" s="6"/>
      <c r="K75" s="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1"/>
      <c r="X75" s="1"/>
      <c r="Y75" s="31"/>
      <c r="Z75" s="31"/>
      <c r="AA75" s="31"/>
      <c r="AB75" s="31"/>
      <c r="AC75" s="1"/>
      <c r="AD75" s="1"/>
      <c r="AE75" s="1"/>
    </row>
    <row r="76" spans="1:31" s="35" customFormat="1">
      <c r="A76" s="34"/>
      <c r="B76" s="36"/>
      <c r="C76" s="36" t="s">
        <v>107</v>
      </c>
      <c r="D76" s="34"/>
      <c r="E76" s="45"/>
      <c r="F76" s="45"/>
      <c r="G76" s="34"/>
      <c r="H76" s="39" t="s">
        <v>111</v>
      </c>
      <c r="I76" s="34" t="s">
        <v>112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4"/>
      <c r="X76" s="34"/>
      <c r="Y76" s="38"/>
      <c r="Z76" s="38"/>
      <c r="AA76" s="38"/>
      <c r="AB76" s="38"/>
      <c r="AC76" s="34"/>
      <c r="AD76" s="34"/>
      <c r="AE76" s="34"/>
    </row>
    <row r="77" spans="1:31" s="20" customFormat="1">
      <c r="A77" s="1"/>
      <c r="B77" s="4"/>
      <c r="C77" s="4"/>
      <c r="D77" s="6"/>
      <c r="E77" s="1"/>
      <c r="F77" s="1"/>
      <c r="G77" s="1"/>
      <c r="H77" s="6"/>
      <c r="I77" s="1" t="s">
        <v>81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1"/>
      <c r="X77" s="1"/>
      <c r="Y77" s="31"/>
      <c r="Z77" s="31"/>
      <c r="AA77" s="31"/>
      <c r="AB77" s="31"/>
      <c r="AC77" s="1"/>
      <c r="AD77" s="1"/>
      <c r="AE77" s="1"/>
    </row>
    <row r="78" spans="1:31" s="20" customFormat="1">
      <c r="A78" s="1"/>
      <c r="B78" s="4"/>
      <c r="C78" s="4"/>
      <c r="D78" s="6"/>
      <c r="E78" s="1"/>
      <c r="F78" s="1"/>
      <c r="G78" s="1"/>
      <c r="H78" s="6"/>
      <c r="I78" s="1" t="s">
        <v>82</v>
      </c>
      <c r="J78" s="6"/>
      <c r="K78" s="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1"/>
      <c r="X78" s="1"/>
      <c r="Y78" s="31"/>
      <c r="Z78" s="31"/>
      <c r="AA78" s="31"/>
      <c r="AB78" s="31"/>
      <c r="AC78" s="1"/>
      <c r="AD78" s="1"/>
      <c r="AE78" s="1"/>
    </row>
    <row r="79" spans="1:31" s="35" customFormat="1">
      <c r="A79" s="34"/>
      <c r="B79" s="36"/>
      <c r="C79" s="36" t="s">
        <v>107</v>
      </c>
      <c r="D79" s="34"/>
      <c r="E79" s="45"/>
      <c r="F79" s="45"/>
      <c r="G79" s="34"/>
      <c r="H79" s="39" t="s">
        <v>109</v>
      </c>
      <c r="I79" s="34" t="s">
        <v>110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4"/>
      <c r="X79" s="34"/>
      <c r="Y79" s="38"/>
      <c r="Z79" s="38"/>
      <c r="AA79" s="38"/>
      <c r="AB79" s="38"/>
      <c r="AC79" s="34"/>
      <c r="AD79" s="34"/>
      <c r="AE79" s="34"/>
    </row>
    <row r="80" spans="1:31" s="20" customFormat="1">
      <c r="A80" s="1"/>
      <c r="B80" s="4"/>
      <c r="C80" s="4"/>
      <c r="D80" s="6"/>
      <c r="E80" s="1"/>
      <c r="F80" s="1"/>
      <c r="G80" s="1"/>
      <c r="H80" s="6"/>
      <c r="I80" s="1" t="s">
        <v>83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1"/>
      <c r="X80" s="1"/>
      <c r="Y80" s="31"/>
      <c r="Z80" s="31"/>
      <c r="AA80" s="31"/>
      <c r="AB80" s="31"/>
      <c r="AC80" s="1"/>
      <c r="AD80" s="1"/>
      <c r="AE80" s="1"/>
    </row>
    <row r="81" spans="1:31" s="20" customFormat="1">
      <c r="A81" s="1"/>
      <c r="B81" s="4"/>
      <c r="C81" s="4"/>
      <c r="D81" s="6"/>
      <c r="E81" s="1"/>
      <c r="F81" s="1"/>
      <c r="G81" s="1"/>
      <c r="H81" s="6"/>
      <c r="I81" s="1" t="s">
        <v>84</v>
      </c>
      <c r="J81" s="6"/>
      <c r="K81" s="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1"/>
      <c r="X81" s="1"/>
      <c r="Y81" s="31"/>
      <c r="Z81" s="31"/>
      <c r="AA81" s="31"/>
      <c r="AB81" s="31"/>
      <c r="AC81" s="1"/>
      <c r="AD81" s="1"/>
      <c r="AE81" s="1"/>
    </row>
    <row r="82" spans="1:31" s="35" customFormat="1">
      <c r="A82" s="34"/>
      <c r="B82" s="36"/>
      <c r="C82" s="36" t="s">
        <v>107</v>
      </c>
      <c r="D82" s="34"/>
      <c r="E82" s="45"/>
      <c r="F82" s="45"/>
      <c r="G82" s="34"/>
      <c r="H82" s="34" t="s">
        <v>5</v>
      </c>
      <c r="I82" s="34" t="s">
        <v>108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4"/>
      <c r="X82" s="34"/>
      <c r="Y82" s="38"/>
      <c r="Z82" s="38"/>
      <c r="AA82" s="38"/>
      <c r="AB82" s="38"/>
      <c r="AC82" s="34"/>
      <c r="AD82" s="34"/>
      <c r="AE82" s="34"/>
    </row>
    <row r="83" spans="1:31" s="20" customFormat="1">
      <c r="A83" s="1"/>
      <c r="B83" s="4"/>
      <c r="C83" s="4"/>
      <c r="D83" s="6"/>
      <c r="E83" s="1"/>
      <c r="F83" s="1"/>
      <c r="G83" s="1"/>
      <c r="H83" s="6"/>
      <c r="I83" s="1" t="s">
        <v>85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1"/>
      <c r="X83" s="1"/>
      <c r="Y83" s="31"/>
      <c r="Z83" s="31"/>
      <c r="AA83" s="31"/>
      <c r="AB83" s="31"/>
      <c r="AC83" s="1"/>
      <c r="AD83" s="1"/>
      <c r="AE83" s="1"/>
    </row>
    <row r="84" spans="1:31" s="20" customFormat="1">
      <c r="A84" s="1"/>
      <c r="B84" s="1"/>
      <c r="C84" s="1"/>
      <c r="D84" s="6"/>
      <c r="E84" s="1"/>
      <c r="F84" s="1"/>
      <c r="G84" s="1"/>
      <c r="H84" s="6"/>
      <c r="I84" s="1" t="s">
        <v>86</v>
      </c>
      <c r="J84" s="6"/>
      <c r="K84" s="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1"/>
      <c r="X84" s="1"/>
      <c r="Y84" s="1"/>
      <c r="Z84" s="1"/>
      <c r="AA84" s="1"/>
      <c r="AB84" s="1"/>
      <c r="AC84" s="1"/>
      <c r="AD84" s="1"/>
      <c r="AE84" s="1"/>
    </row>
  </sheetData>
  <mergeCells count="38">
    <mergeCell ref="L6:N6"/>
    <mergeCell ref="J8:L8"/>
    <mergeCell ref="J1:K1"/>
    <mergeCell ref="L1:T1"/>
    <mergeCell ref="C45:W45"/>
    <mergeCell ref="B2:D2"/>
    <mergeCell ref="E2:J2"/>
    <mergeCell ref="N2:U2"/>
    <mergeCell ref="C39:W39"/>
    <mergeCell ref="C42:W42"/>
    <mergeCell ref="C33:W33"/>
    <mergeCell ref="C36:W36"/>
    <mergeCell ref="E4:F4"/>
    <mergeCell ref="E6:F6"/>
    <mergeCell ref="E8:F8"/>
    <mergeCell ref="E10:F10"/>
    <mergeCell ref="AA12:AB12"/>
    <mergeCell ref="B69:AE69"/>
    <mergeCell ref="C48:W48"/>
    <mergeCell ref="C51:W51"/>
    <mergeCell ref="C54:W54"/>
    <mergeCell ref="D58:X58"/>
    <mergeCell ref="D60:X60"/>
    <mergeCell ref="B68:X68"/>
    <mergeCell ref="D62:X62"/>
    <mergeCell ref="D64:X64"/>
    <mergeCell ref="D66:X66"/>
    <mergeCell ref="E12:F12"/>
    <mergeCell ref="E15:F15"/>
    <mergeCell ref="E18:F18"/>
    <mergeCell ref="E21:F21"/>
    <mergeCell ref="E79:F79"/>
    <mergeCell ref="E82:F82"/>
    <mergeCell ref="E24:F24"/>
    <mergeCell ref="E27:F27"/>
    <mergeCell ref="E70:F70"/>
    <mergeCell ref="E73:F73"/>
    <mergeCell ref="E76:F76"/>
  </mergeCells>
  <phoneticPr fontId="1"/>
  <conditionalFormatting sqref="E4:F4">
    <cfRule type="containsBlanks" dxfId="37" priority="31">
      <formula>LEN(TRIM(E4))=0</formula>
    </cfRule>
  </conditionalFormatting>
  <conditionalFormatting sqref="E6:F6">
    <cfRule type="containsBlanks" dxfId="36" priority="30">
      <formula>LEN(TRIM(E6))=0</formula>
    </cfRule>
  </conditionalFormatting>
  <conditionalFormatting sqref="E8:F8">
    <cfRule type="containsBlanks" dxfId="35" priority="29">
      <formula>LEN(TRIM(E8))=0</formula>
    </cfRule>
  </conditionalFormatting>
  <conditionalFormatting sqref="E10:F10">
    <cfRule type="containsBlanks" dxfId="34" priority="28">
      <formula>LEN(TRIM(E10))=0</formula>
    </cfRule>
  </conditionalFormatting>
  <conditionalFormatting sqref="E12:F12">
    <cfRule type="containsBlanks" dxfId="33" priority="27">
      <formula>LEN(TRIM(E12))=0</formula>
    </cfRule>
  </conditionalFormatting>
  <conditionalFormatting sqref="E15:F15">
    <cfRule type="containsBlanks" dxfId="32" priority="26">
      <formula>LEN(TRIM(E15))=0</formula>
    </cfRule>
  </conditionalFormatting>
  <conditionalFormatting sqref="E18:F18">
    <cfRule type="containsBlanks" dxfId="31" priority="25">
      <formula>LEN(TRIM(E18))=0</formula>
    </cfRule>
  </conditionalFormatting>
  <conditionalFormatting sqref="E21:F21">
    <cfRule type="containsBlanks" dxfId="30" priority="24">
      <formula>LEN(TRIM(E21))=0</formula>
    </cfRule>
  </conditionalFormatting>
  <conditionalFormatting sqref="E24:F24">
    <cfRule type="containsBlanks" dxfId="29" priority="23">
      <formula>LEN(TRIM(E24))=0</formula>
    </cfRule>
  </conditionalFormatting>
  <conditionalFormatting sqref="E27:F27">
    <cfRule type="containsBlanks" dxfId="28" priority="22">
      <formula>LEN(TRIM(E27))=0</formula>
    </cfRule>
  </conditionalFormatting>
  <conditionalFormatting sqref="E70:F70">
    <cfRule type="containsBlanks" dxfId="27" priority="21">
      <formula>LEN(TRIM(E70))=0</formula>
    </cfRule>
  </conditionalFormatting>
  <conditionalFormatting sqref="E73:F73">
    <cfRule type="containsBlanks" dxfId="26" priority="20">
      <formula>LEN(TRIM(E73))=0</formula>
    </cfRule>
  </conditionalFormatting>
  <conditionalFormatting sqref="E76:F76">
    <cfRule type="containsBlanks" dxfId="25" priority="19">
      <formula>LEN(TRIM(E76))=0</formula>
    </cfRule>
  </conditionalFormatting>
  <conditionalFormatting sqref="E79:F79">
    <cfRule type="containsBlanks" dxfId="24" priority="18">
      <formula>LEN(TRIM(E79))=0</formula>
    </cfRule>
  </conditionalFormatting>
  <conditionalFormatting sqref="E82:F82">
    <cfRule type="containsBlanks" dxfId="23" priority="17">
      <formula>LEN(TRIM(E82))=0</formula>
    </cfRule>
  </conditionalFormatting>
  <conditionalFormatting sqref="E2:J2">
    <cfRule type="containsBlanks" dxfId="22" priority="16">
      <formula>LEN(TRIM(E2))=0</formula>
    </cfRule>
  </conditionalFormatting>
  <conditionalFormatting sqref="L1:T1">
    <cfRule type="containsBlanks" dxfId="21" priority="15">
      <formula>LEN(TRIM(L1))=0</formula>
    </cfRule>
  </conditionalFormatting>
  <conditionalFormatting sqref="N2:U2">
    <cfRule type="containsBlanks" dxfId="20" priority="14">
      <formula>LEN(TRIM(N2))=0</formula>
    </cfRule>
  </conditionalFormatting>
  <conditionalFormatting sqref="C33:W33">
    <cfRule type="containsBlanks" dxfId="19" priority="13">
      <formula>LEN(TRIM(C33))=0</formula>
    </cfRule>
  </conditionalFormatting>
  <conditionalFormatting sqref="C36:W36">
    <cfRule type="containsBlanks" dxfId="18" priority="12">
      <formula>LEN(TRIM(C36))=0</formula>
    </cfRule>
  </conditionalFormatting>
  <conditionalFormatting sqref="C39:W39">
    <cfRule type="containsBlanks" dxfId="17" priority="11">
      <formula>LEN(TRIM(C39))=0</formula>
    </cfRule>
  </conditionalFormatting>
  <conditionalFormatting sqref="C42:W42">
    <cfRule type="containsBlanks" dxfId="16" priority="10">
      <formula>LEN(TRIM(C42))=0</formula>
    </cfRule>
  </conditionalFormatting>
  <conditionalFormatting sqref="C45:W45">
    <cfRule type="containsBlanks" dxfId="15" priority="9">
      <formula>LEN(TRIM(C45))=0</formula>
    </cfRule>
  </conditionalFormatting>
  <conditionalFormatting sqref="C48:W48">
    <cfRule type="containsBlanks" dxfId="14" priority="8">
      <formula>LEN(TRIM(C48))=0</formula>
    </cfRule>
  </conditionalFormatting>
  <conditionalFormatting sqref="C51:W51">
    <cfRule type="containsBlanks" dxfId="13" priority="7">
      <formula>LEN(TRIM(C51))=0</formula>
    </cfRule>
  </conditionalFormatting>
  <conditionalFormatting sqref="C54:W54">
    <cfRule type="containsBlanks" dxfId="12" priority="6">
      <formula>LEN(TRIM(C54))=0</formula>
    </cfRule>
  </conditionalFormatting>
  <conditionalFormatting sqref="D58:X58">
    <cfRule type="containsBlanks" dxfId="11" priority="5">
      <formula>LEN(TRIM(D58))=0</formula>
    </cfRule>
  </conditionalFormatting>
  <conditionalFormatting sqref="D60:X60">
    <cfRule type="containsBlanks" dxfId="10" priority="4">
      <formula>LEN(TRIM(D60))=0</formula>
    </cfRule>
  </conditionalFormatting>
  <conditionalFormatting sqref="D62:X62">
    <cfRule type="containsBlanks" dxfId="9" priority="3">
      <formula>LEN(TRIM(D62))=0</formula>
    </cfRule>
  </conditionalFormatting>
  <conditionalFormatting sqref="D64:X64">
    <cfRule type="containsBlanks" dxfId="8" priority="2">
      <formula>LEN(TRIM(D64))=0</formula>
    </cfRule>
  </conditionalFormatting>
  <conditionalFormatting sqref="D66:X66">
    <cfRule type="containsBlanks" dxfId="7" priority="1">
      <formula>LEN(TRIM(D66))=0</formula>
    </cfRule>
  </conditionalFormatting>
  <dataValidations count="1">
    <dataValidation type="list" allowBlank="1" showInputMessage="1" showErrorMessage="1" sqref="E4:F4 E6:F6 E8:F8 E10:F10 E12:F12 E15:F15 E18:F18 E21:F21 E24:F24 E27:F27 E70:F70 E73:F73 E76:F76 E79:F79 E82:F82">
      <formula1>"1,2,3,4"</formula1>
    </dataValidation>
  </dataValidations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6"/>
  <sheetViews>
    <sheetView topLeftCell="A28" zoomScale="115" zoomScaleNormal="115" workbookViewId="0">
      <selection activeCell="C45" sqref="A1:XFD1048576"/>
    </sheetView>
  </sheetViews>
  <sheetFormatPr defaultRowHeight="13.5"/>
  <cols>
    <col min="1" max="1" width="2.625" style="41" customWidth="1"/>
    <col min="2" max="2" width="4.125" style="41" customWidth="1"/>
    <col min="3" max="3" width="71.625" style="41" customWidth="1"/>
    <col min="4" max="4" width="4.75" style="41" customWidth="1"/>
    <col min="5" max="5" width="41.75" style="41" customWidth="1"/>
    <col min="6" max="6" width="3.625" style="41" customWidth="1"/>
    <col min="7" max="16384" width="9" style="41"/>
  </cols>
  <sheetData>
    <row r="1" spans="1:32">
      <c r="A1" s="40"/>
      <c r="B1" s="40"/>
      <c r="C1" s="40" t="s">
        <v>21</v>
      </c>
      <c r="E1" s="40" t="s">
        <v>20</v>
      </c>
      <c r="F1" s="40"/>
      <c r="G1" s="40" t="s">
        <v>19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</row>
    <row r="2" spans="1:32">
      <c r="A2" s="40"/>
      <c r="B2" s="42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spans="1:32">
      <c r="A3" s="40"/>
      <c r="B3" s="41">
        <v>1</v>
      </c>
      <c r="C3" s="42">
        <f>'1'!E4</f>
        <v>0</v>
      </c>
      <c r="D3" s="40"/>
      <c r="E3" s="40">
        <v>1</v>
      </c>
      <c r="F3" s="40"/>
      <c r="G3" s="43">
        <f>IF(C3=E3,3,0)</f>
        <v>0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</row>
    <row r="4" spans="1:32">
      <c r="A4" s="40"/>
      <c r="B4" s="41">
        <v>2</v>
      </c>
      <c r="C4" s="42">
        <f>'1'!E6</f>
        <v>0</v>
      </c>
      <c r="D4" s="40"/>
      <c r="E4" s="40">
        <v>2</v>
      </c>
      <c r="F4" s="40"/>
      <c r="G4" s="43">
        <f t="shared" ref="G4:G7" si="0">IF(C4=E4,3,0)</f>
        <v>0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</row>
    <row r="5" spans="1:32">
      <c r="A5" s="40"/>
      <c r="B5" s="41">
        <v>3</v>
      </c>
      <c r="C5" s="42">
        <f>'1'!E8</f>
        <v>0</v>
      </c>
      <c r="D5" s="40"/>
      <c r="E5" s="40">
        <v>4</v>
      </c>
      <c r="F5" s="40"/>
      <c r="G5" s="43">
        <f t="shared" si="0"/>
        <v>0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</row>
    <row r="6" spans="1:32">
      <c r="A6" s="40"/>
      <c r="B6" s="41">
        <v>4</v>
      </c>
      <c r="C6" s="42">
        <f>'1'!E10</f>
        <v>0</v>
      </c>
      <c r="D6" s="40"/>
      <c r="E6" s="40">
        <v>3</v>
      </c>
      <c r="F6" s="40"/>
      <c r="G6" s="43">
        <f t="shared" si="0"/>
        <v>0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spans="1:32">
      <c r="A7" s="40"/>
      <c r="B7" s="41">
        <v>5</v>
      </c>
      <c r="C7" s="42">
        <f>'1'!E12</f>
        <v>0</v>
      </c>
      <c r="D7" s="40"/>
      <c r="E7" s="40">
        <v>4</v>
      </c>
      <c r="F7" s="40"/>
      <c r="G7" s="43">
        <f t="shared" si="0"/>
        <v>0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spans="1:32">
      <c r="A8" s="40"/>
      <c r="B8" s="42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spans="1:32">
      <c r="A9" s="40"/>
      <c r="B9" s="42" t="s">
        <v>17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spans="1:32">
      <c r="A10" s="40"/>
      <c r="B10" s="42">
        <v>1</v>
      </c>
      <c r="C10" s="40">
        <f>'1'!E15</f>
        <v>0</v>
      </c>
      <c r="D10" s="40"/>
      <c r="E10" s="40">
        <v>4</v>
      </c>
      <c r="F10" s="40"/>
      <c r="G10" s="43">
        <f>IF(C10=E10,3,0)</f>
        <v>0</v>
      </c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spans="1:32">
      <c r="A11" s="40"/>
      <c r="B11" s="42">
        <v>2</v>
      </c>
      <c r="C11" s="40">
        <f>'1'!E18</f>
        <v>0</v>
      </c>
      <c r="D11" s="40"/>
      <c r="E11" s="40">
        <v>2</v>
      </c>
      <c r="F11" s="40"/>
      <c r="G11" s="43">
        <f>IF(C11=E11,3,0)</f>
        <v>0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</row>
    <row r="12" spans="1:32">
      <c r="A12" s="40"/>
      <c r="B12" s="42">
        <v>3</v>
      </c>
      <c r="C12" s="40">
        <f>'1'!E21</f>
        <v>0</v>
      </c>
      <c r="D12" s="40"/>
      <c r="E12" s="40">
        <v>4</v>
      </c>
      <c r="F12" s="40"/>
      <c r="G12" s="43">
        <f>IF(C12=E12,3,0)</f>
        <v>0</v>
      </c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</row>
    <row r="13" spans="1:32">
      <c r="A13" s="40"/>
      <c r="B13" s="42">
        <v>4</v>
      </c>
      <c r="C13" s="40">
        <f>'1'!E24</f>
        <v>0</v>
      </c>
      <c r="D13" s="40"/>
      <c r="E13" s="40">
        <v>3</v>
      </c>
      <c r="F13" s="40"/>
      <c r="G13" s="43">
        <f>IF(C13=E13,3,0)</f>
        <v>0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</row>
    <row r="14" spans="1:32">
      <c r="A14" s="40"/>
      <c r="B14" s="42">
        <v>5</v>
      </c>
      <c r="C14" s="40">
        <f>'1'!E27</f>
        <v>0</v>
      </c>
      <c r="D14" s="40"/>
      <c r="E14" s="40">
        <v>2</v>
      </c>
      <c r="F14" s="40"/>
      <c r="G14" s="43">
        <f>IF(C14=E14,3,0)</f>
        <v>0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</row>
    <row r="15" spans="1:32">
      <c r="A15" s="40"/>
      <c r="B15" s="42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</row>
    <row r="16" spans="1:32">
      <c r="A16" s="40"/>
      <c r="B16" s="42" t="s">
        <v>16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</row>
    <row r="17" spans="1:32">
      <c r="A17" s="40"/>
      <c r="B17" s="42">
        <v>1</v>
      </c>
      <c r="C17" s="40">
        <f>'1'!C33</f>
        <v>0</v>
      </c>
      <c r="D17" s="40"/>
      <c r="E17" s="40" t="s">
        <v>87</v>
      </c>
      <c r="F17" s="40"/>
      <c r="G17" s="43">
        <f t="shared" ref="G17:G24" si="1">IF(C17=E17,5,0)</f>
        <v>0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</row>
    <row r="18" spans="1:32">
      <c r="A18" s="40"/>
      <c r="B18" s="42">
        <v>2</v>
      </c>
      <c r="C18" s="40">
        <f>'1'!C36</f>
        <v>0</v>
      </c>
      <c r="D18" s="40"/>
      <c r="E18" s="40" t="s">
        <v>88</v>
      </c>
      <c r="F18" s="40"/>
      <c r="G18" s="43">
        <f t="shared" si="1"/>
        <v>0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</row>
    <row r="19" spans="1:32">
      <c r="A19" s="40"/>
      <c r="B19" s="42">
        <v>3</v>
      </c>
      <c r="C19" s="40">
        <f>'1'!C39</f>
        <v>0</v>
      </c>
      <c r="D19" s="40"/>
      <c r="E19" s="40" t="s">
        <v>89</v>
      </c>
      <c r="F19" s="40"/>
      <c r="G19" s="43">
        <f t="shared" si="1"/>
        <v>0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</row>
    <row r="20" spans="1:32">
      <c r="A20" s="40"/>
      <c r="B20" s="42">
        <v>4</v>
      </c>
      <c r="C20" s="40">
        <f>'1'!C42</f>
        <v>0</v>
      </c>
      <c r="D20" s="40"/>
      <c r="E20" s="40" t="s">
        <v>90</v>
      </c>
      <c r="F20" s="40"/>
      <c r="G20" s="43">
        <f t="shared" si="1"/>
        <v>0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>
      <c r="A21" s="40"/>
      <c r="B21" s="42">
        <v>5</v>
      </c>
      <c r="C21" s="40">
        <f>'1'!C45</f>
        <v>0</v>
      </c>
      <c r="D21" s="40"/>
      <c r="E21" s="40" t="s">
        <v>91</v>
      </c>
      <c r="F21" s="40"/>
      <c r="G21" s="43">
        <f t="shared" si="1"/>
        <v>0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>
      <c r="A22" s="40"/>
      <c r="B22" s="42">
        <v>6</v>
      </c>
      <c r="C22" s="40">
        <f>'1'!C48</f>
        <v>0</v>
      </c>
      <c r="D22" s="40"/>
      <c r="E22" s="40" t="s">
        <v>92</v>
      </c>
      <c r="F22" s="40"/>
      <c r="G22" s="43">
        <f t="shared" si="1"/>
        <v>0</v>
      </c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</row>
    <row r="23" spans="1:32">
      <c r="A23" s="40"/>
      <c r="B23" s="42">
        <v>7</v>
      </c>
      <c r="C23" s="40">
        <f>'1'!C51</f>
        <v>0</v>
      </c>
      <c r="D23" s="40"/>
      <c r="E23" s="40" t="s">
        <v>93</v>
      </c>
      <c r="F23" s="40"/>
      <c r="G23" s="43">
        <f>IF(OR(C23=E23,C23=I23)=TRUE,5,0)</f>
        <v>0</v>
      </c>
      <c r="H23" s="40"/>
      <c r="I23" s="40" t="s">
        <v>94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</row>
    <row r="24" spans="1:32">
      <c r="A24" s="40"/>
      <c r="B24" s="42">
        <v>8</v>
      </c>
      <c r="C24" s="40">
        <f>'1'!C54</f>
        <v>0</v>
      </c>
      <c r="D24" s="40"/>
      <c r="E24" s="40" t="s">
        <v>95</v>
      </c>
      <c r="F24" s="40"/>
      <c r="G24" s="43">
        <f t="shared" si="1"/>
        <v>0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</row>
    <row r="25" spans="1:32">
      <c r="A25" s="40"/>
      <c r="B25" s="42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</row>
    <row r="26" spans="1:32">
      <c r="A26" s="40"/>
      <c r="B26" s="42" t="s">
        <v>15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</row>
    <row r="27" spans="1:32">
      <c r="A27" s="40"/>
      <c r="B27" s="44">
        <v>1</v>
      </c>
      <c r="C27" s="40">
        <f>'1'!D58</f>
        <v>0</v>
      </c>
      <c r="D27" s="40"/>
      <c r="E27" s="40" t="s">
        <v>96</v>
      </c>
      <c r="F27" s="40"/>
      <c r="G27" s="43">
        <f>IF(C27=E27,3,0)</f>
        <v>0</v>
      </c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</row>
    <row r="28" spans="1:32">
      <c r="A28" s="40"/>
      <c r="B28" s="44">
        <v>2</v>
      </c>
      <c r="C28" s="40">
        <f>'1'!D60</f>
        <v>0</v>
      </c>
      <c r="D28" s="40"/>
      <c r="E28" s="40" t="s">
        <v>97</v>
      </c>
      <c r="F28" s="40"/>
      <c r="G28" s="43">
        <f t="shared" ref="G28:G31" si="2">IF(C28=E28,3,0)</f>
        <v>0</v>
      </c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</row>
    <row r="29" spans="1:32">
      <c r="A29" s="40"/>
      <c r="B29" s="44">
        <v>3</v>
      </c>
      <c r="C29" s="40">
        <f>'1'!D62</f>
        <v>0</v>
      </c>
      <c r="D29" s="40"/>
      <c r="E29" s="40" t="s">
        <v>98</v>
      </c>
      <c r="F29" s="40"/>
      <c r="G29" s="43">
        <f t="shared" si="2"/>
        <v>0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</row>
    <row r="30" spans="1:32">
      <c r="A30" s="40"/>
      <c r="B30" s="44">
        <v>4</v>
      </c>
      <c r="C30" s="40">
        <f>'1'!D64</f>
        <v>0</v>
      </c>
      <c r="D30" s="40"/>
      <c r="E30" s="40" t="s">
        <v>99</v>
      </c>
      <c r="F30" s="40"/>
      <c r="G30" s="43">
        <f t="shared" si="2"/>
        <v>0</v>
      </c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</row>
    <row r="31" spans="1:32">
      <c r="A31" s="40"/>
      <c r="B31" s="44">
        <v>5</v>
      </c>
      <c r="C31" s="40">
        <f>'1'!D66</f>
        <v>0</v>
      </c>
      <c r="D31" s="40"/>
      <c r="E31" s="40" t="s">
        <v>100</v>
      </c>
      <c r="F31" s="40"/>
      <c r="G31" s="43">
        <f t="shared" si="2"/>
        <v>0</v>
      </c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</row>
    <row r="32" spans="1: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 spans="1:32">
      <c r="A33" s="40"/>
      <c r="B33" s="42" t="s">
        <v>23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</row>
    <row r="34" spans="1:32">
      <c r="A34" s="40"/>
      <c r="B34" s="44">
        <v>1</v>
      </c>
      <c r="C34" s="40">
        <f>'1'!E70</f>
        <v>0</v>
      </c>
      <c r="D34" s="40"/>
      <c r="E34" s="40">
        <v>4</v>
      </c>
      <c r="F34" s="40"/>
      <c r="G34" s="43">
        <f>IF(C34=E34,3,0)</f>
        <v>0</v>
      </c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spans="1:32">
      <c r="A35" s="40"/>
      <c r="B35" s="44">
        <v>2</v>
      </c>
      <c r="C35" s="40">
        <f>'1'!E73</f>
        <v>0</v>
      </c>
      <c r="D35" s="40"/>
      <c r="E35" s="40">
        <v>2</v>
      </c>
      <c r="F35" s="40"/>
      <c r="G35" s="43">
        <f t="shared" ref="G35:G38" si="3">IF(C35=E35,3,0)</f>
        <v>0</v>
      </c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 spans="1:32">
      <c r="A36" s="40"/>
      <c r="B36" s="44">
        <v>3</v>
      </c>
      <c r="C36" s="40">
        <f>'1'!E76</f>
        <v>0</v>
      </c>
      <c r="D36" s="40"/>
      <c r="E36" s="40">
        <v>4</v>
      </c>
      <c r="F36" s="40"/>
      <c r="G36" s="43">
        <f t="shared" si="3"/>
        <v>0</v>
      </c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</row>
    <row r="37" spans="1:32">
      <c r="A37" s="40"/>
      <c r="B37" s="44">
        <v>4</v>
      </c>
      <c r="C37" s="40">
        <f>'1'!E79</f>
        <v>0</v>
      </c>
      <c r="D37" s="40"/>
      <c r="E37" s="40">
        <v>4</v>
      </c>
      <c r="G37" s="43">
        <f t="shared" si="3"/>
        <v>0</v>
      </c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</row>
    <row r="38" spans="1:32">
      <c r="A38" s="40"/>
      <c r="B38" s="44">
        <v>5</v>
      </c>
      <c r="C38" s="40">
        <f>'1'!E82</f>
        <v>0</v>
      </c>
      <c r="D38" s="40"/>
      <c r="E38" s="40">
        <v>3</v>
      </c>
      <c r="F38" s="40"/>
      <c r="G38" s="43">
        <f t="shared" si="3"/>
        <v>0</v>
      </c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</row>
    <row r="39" spans="1:3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</row>
    <row r="46" spans="1:32">
      <c r="E46" s="40" t="s">
        <v>14</v>
      </c>
      <c r="F46" s="40"/>
      <c r="G46" s="40">
        <f>SUM(G2:G45)</f>
        <v>0</v>
      </c>
    </row>
  </sheetData>
  <sheetProtection password="CF40" sheet="1" objects="1" scenarios="1" selectLockedCells="1" selectUnlockedCells="1"/>
  <phoneticPr fontId="11" type="noConversion"/>
  <conditionalFormatting sqref="G3:G7">
    <cfRule type="cellIs" dxfId="6" priority="6" operator="equal">
      <formula>0</formula>
    </cfRule>
  </conditionalFormatting>
  <conditionalFormatting sqref="G10:G14">
    <cfRule type="cellIs" dxfId="5" priority="5" operator="equal">
      <formula>0</formula>
    </cfRule>
  </conditionalFormatting>
  <conditionalFormatting sqref="G17:G22 G24">
    <cfRule type="cellIs" dxfId="4" priority="4" operator="equal">
      <formula>0</formula>
    </cfRule>
  </conditionalFormatting>
  <conditionalFormatting sqref="G27:G31">
    <cfRule type="cellIs" dxfId="3" priority="3" operator="equal">
      <formula>0</formula>
    </cfRule>
  </conditionalFormatting>
  <conditionalFormatting sqref="G34:G38">
    <cfRule type="cellIs" dxfId="2" priority="2" operator="equal">
      <formula>0</formula>
    </cfRule>
  </conditionalFormatting>
  <conditionalFormatting sqref="G23">
    <cfRule type="cellIs" dxfId="1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39"/>
  <sheetViews>
    <sheetView topLeftCell="A22" workbookViewId="0">
      <selection activeCell="H5" sqref="H5"/>
    </sheetView>
  </sheetViews>
  <sheetFormatPr defaultRowHeight="13.5"/>
  <cols>
    <col min="7" max="7" width="4.125" customWidth="1"/>
  </cols>
  <sheetData>
    <row r="1" spans="2:8">
      <c r="G1" s="27"/>
    </row>
    <row r="2" spans="2:8">
      <c r="B2" t="s">
        <v>101</v>
      </c>
      <c r="C2">
        <f>'1'!L1</f>
        <v>0</v>
      </c>
      <c r="H2" t="s">
        <v>104</v>
      </c>
    </row>
    <row r="3" spans="2:8">
      <c r="B3" t="s">
        <v>102</v>
      </c>
      <c r="C3">
        <f>'1'!N2</f>
        <v>0</v>
      </c>
      <c r="G3" s="29" t="s">
        <v>18</v>
      </c>
      <c r="H3" s="33">
        <v>0.15</v>
      </c>
    </row>
    <row r="4" spans="2:8">
      <c r="B4" t="s">
        <v>103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32" t="s">
        <v>22</v>
      </c>
      <c r="E6" s="30">
        <f>'2'!G46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 s="29"/>
    </row>
    <row r="10" spans="2:8">
      <c r="G10" s="29" t="s">
        <v>17</v>
      </c>
      <c r="H10" s="33">
        <v>0.15</v>
      </c>
    </row>
    <row r="11" spans="2:8">
      <c r="G11" s="29">
        <v>1</v>
      </c>
      <c r="H11" t="str">
        <f>IF('2'!C10='2'!E10,"○","×")</f>
        <v>×</v>
      </c>
    </row>
    <row r="12" spans="2:8">
      <c r="G12" s="29">
        <v>2</v>
      </c>
      <c r="H12" t="str">
        <f>IF('2'!C11='2'!E11,"○","×")</f>
        <v>×</v>
      </c>
    </row>
    <row r="13" spans="2:8">
      <c r="G13" s="29">
        <v>3</v>
      </c>
      <c r="H13" t="str">
        <f>IF('2'!C12='2'!E12,"○","×")</f>
        <v>×</v>
      </c>
    </row>
    <row r="14" spans="2:8">
      <c r="G14" s="29">
        <v>4</v>
      </c>
      <c r="H14" t="str">
        <f>IF('2'!C13='2'!E13,"○","×")</f>
        <v>×</v>
      </c>
    </row>
    <row r="15" spans="2:8">
      <c r="G15" s="29">
        <v>5</v>
      </c>
      <c r="H15" t="str">
        <f>IF('2'!C14='2'!E14,"○","×")</f>
        <v>×</v>
      </c>
    </row>
    <row r="16" spans="2:8">
      <c r="G16" s="29"/>
    </row>
    <row r="17" spans="7:8">
      <c r="G17" s="29" t="s">
        <v>16</v>
      </c>
      <c r="H17" s="33">
        <v>0.4</v>
      </c>
    </row>
    <row r="18" spans="7:8">
      <c r="G18" s="29">
        <v>1</v>
      </c>
      <c r="H18" t="str">
        <f>IF('2'!C17='2'!E17,"○","×")</f>
        <v>×</v>
      </c>
    </row>
    <row r="19" spans="7:8">
      <c r="G19" s="29">
        <v>2</v>
      </c>
      <c r="H19" t="str">
        <f>IF('2'!C18='2'!E18,"○","×")</f>
        <v>×</v>
      </c>
    </row>
    <row r="20" spans="7:8">
      <c r="G20" s="29">
        <v>3</v>
      </c>
      <c r="H20" t="str">
        <f>IF('2'!C19='2'!E19,"○","×")</f>
        <v>×</v>
      </c>
    </row>
    <row r="21" spans="7:8">
      <c r="G21" s="29">
        <v>4</v>
      </c>
      <c r="H21" t="str">
        <f>IF('2'!C20='2'!E20,"○","×")</f>
        <v>×</v>
      </c>
    </row>
    <row r="22" spans="7:8">
      <c r="G22" s="29">
        <v>5</v>
      </c>
      <c r="H22" t="str">
        <f>IF('2'!C21='2'!E21,"○","×")</f>
        <v>×</v>
      </c>
    </row>
    <row r="23" spans="7:8">
      <c r="G23" s="29">
        <v>6</v>
      </c>
      <c r="H23" t="str">
        <f>IF('2'!C22='2'!E22,"○","×")</f>
        <v>×</v>
      </c>
    </row>
    <row r="24" spans="7:8">
      <c r="G24" s="29">
        <v>7</v>
      </c>
      <c r="H24" t="str">
        <f>IF('2'!C23='2'!E23,"○","×")</f>
        <v>×</v>
      </c>
    </row>
    <row r="25" spans="7:8">
      <c r="G25" s="29">
        <v>8</v>
      </c>
      <c r="H25" t="str">
        <f>IF('2'!C24='2'!E24,"○","×")</f>
        <v>×</v>
      </c>
    </row>
    <row r="26" spans="7:8">
      <c r="G26" s="29"/>
    </row>
    <row r="27" spans="7:8">
      <c r="G27" s="29" t="s">
        <v>15</v>
      </c>
      <c r="H27" s="33">
        <v>0.15</v>
      </c>
    </row>
    <row r="28" spans="7:8">
      <c r="G28" s="28">
        <v>1</v>
      </c>
      <c r="H28" t="str">
        <f>IF('2'!C27='2'!E27,"○","×")</f>
        <v>×</v>
      </c>
    </row>
    <row r="29" spans="7:8">
      <c r="G29" s="28">
        <v>2</v>
      </c>
      <c r="H29" t="str">
        <f>IF('2'!C28='2'!E28,"○","×")</f>
        <v>×</v>
      </c>
    </row>
    <row r="30" spans="7:8">
      <c r="G30" s="28">
        <v>3</v>
      </c>
      <c r="H30" t="str">
        <f>IF('2'!C29='2'!E29,"○","×")</f>
        <v>×</v>
      </c>
    </row>
    <row r="31" spans="7:8">
      <c r="G31" s="28">
        <v>4</v>
      </c>
      <c r="H31" t="str">
        <f>IF('2'!C30='2'!E30,"○","×")</f>
        <v>×</v>
      </c>
    </row>
    <row r="32" spans="7:8">
      <c r="G32" s="28">
        <v>5</v>
      </c>
      <c r="H32" t="str">
        <f>IF('2'!C31='2'!E31,"○","×")</f>
        <v>×</v>
      </c>
    </row>
    <row r="33" spans="7:8">
      <c r="G33" s="27"/>
    </row>
    <row r="34" spans="7:8">
      <c r="G34" s="29" t="s">
        <v>23</v>
      </c>
      <c r="H34" s="33">
        <v>0.15</v>
      </c>
    </row>
    <row r="35" spans="7:8">
      <c r="G35" s="28">
        <v>1</v>
      </c>
      <c r="H35" t="str">
        <f>IF('2'!C34='2'!E34,"○","×")</f>
        <v>×</v>
      </c>
    </row>
    <row r="36" spans="7:8">
      <c r="G36" s="28">
        <v>2</v>
      </c>
      <c r="H36" t="str">
        <f>IF('2'!C35='2'!E35,"○","×")</f>
        <v>×</v>
      </c>
    </row>
    <row r="37" spans="7:8">
      <c r="G37" s="28">
        <v>3</v>
      </c>
      <c r="H37" t="str">
        <f>IF('2'!C36='2'!E36,"○","×")</f>
        <v>×</v>
      </c>
    </row>
    <row r="38" spans="7:8">
      <c r="G38" s="28">
        <v>4</v>
      </c>
      <c r="H38" t="str">
        <f>IF('2'!C37='2'!E37,"○","×")</f>
        <v>×</v>
      </c>
    </row>
    <row r="39" spans="7:8">
      <c r="G39" s="28">
        <v>5</v>
      </c>
      <c r="H39" t="str">
        <f>IF('2'!C38='2'!E38,"○","×")</f>
        <v>×</v>
      </c>
    </row>
  </sheetData>
  <phoneticPr fontId="11" type="noConversion"/>
  <conditionalFormatting sqref="H3:H39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8DFA5B-50D5-41B6-B346-0F6859BCC013}"/>
</file>

<file path=customXml/itemProps2.xml><?xml version="1.0" encoding="utf-8"?>
<ds:datastoreItem xmlns:ds="http://schemas.openxmlformats.org/officeDocument/2006/customXml" ds:itemID="{C1B3B696-E545-4701-AACB-EC7A12A5B273}"/>
</file>

<file path=customXml/itemProps3.xml><?xml version="1.0" encoding="utf-8"?>
<ds:datastoreItem xmlns:ds="http://schemas.openxmlformats.org/officeDocument/2006/customXml" ds:itemID="{7FAF8D26-D38B-4765-AD3F-B29F56271C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2017-09-25T01:28:49Z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