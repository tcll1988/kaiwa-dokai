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25725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9"/>
  <c r="H10"/>
  <c r="H11"/>
  <c r="H12"/>
  <c r="H17"/>
  <c r="H18"/>
  <c r="H19"/>
  <c r="H23"/>
  <c r="H24"/>
  <c r="H25"/>
  <c r="H26"/>
  <c r="H27"/>
  <c r="H28"/>
  <c r="H29"/>
  <c r="H30"/>
  <c r="H34"/>
  <c r="H35"/>
  <c r="H36"/>
  <c r="H37"/>
  <c r="H4"/>
  <c r="C12" i="2" l="1"/>
  <c r="H13" i="3" s="1"/>
  <c r="C11" i="2"/>
  <c r="C10"/>
  <c r="C6"/>
  <c r="C5"/>
  <c r="C7"/>
  <c r="C36" l="1"/>
  <c r="G36" s="1"/>
  <c r="C35"/>
  <c r="G35" s="1"/>
  <c r="C34"/>
  <c r="G34" s="1"/>
  <c r="C33"/>
  <c r="G33" s="1"/>
  <c r="C32"/>
  <c r="C29"/>
  <c r="G29" s="1"/>
  <c r="C28"/>
  <c r="G28" s="1"/>
  <c r="C27"/>
  <c r="G27" s="1"/>
  <c r="C26"/>
  <c r="G26" s="1"/>
  <c r="C25"/>
  <c r="G25" s="1"/>
  <c r="C24"/>
  <c r="G24" s="1"/>
  <c r="C23"/>
  <c r="G23" s="1"/>
  <c r="C22"/>
  <c r="G22" s="1"/>
  <c r="C19"/>
  <c r="C18"/>
  <c r="G18" s="1"/>
  <c r="C17"/>
  <c r="G17" s="1"/>
  <c r="C16"/>
  <c r="G16" s="1"/>
  <c r="C15"/>
  <c r="G19" l="1"/>
  <c r="H20" i="3"/>
  <c r="G15" i="2"/>
  <c r="H16" i="3"/>
  <c r="G32" i="2"/>
  <c r="H33" i="3"/>
  <c r="C3" i="2"/>
  <c r="G3" s="1"/>
  <c r="G12"/>
  <c r="G11"/>
  <c r="G10"/>
  <c r="C9"/>
  <c r="G9" s="1"/>
  <c r="C8"/>
  <c r="G8" s="1"/>
  <c r="G7"/>
  <c r="G6"/>
  <c r="G5"/>
  <c r="C4"/>
  <c r="G4" s="1"/>
  <c r="G42" l="1"/>
  <c r="E6" i="3" s="1"/>
</calcChain>
</file>

<file path=xl/sharedStrings.xml><?xml version="1.0" encoding="utf-8"?>
<sst xmlns="http://schemas.openxmlformats.org/spreadsheetml/2006/main" count="147" uniqueCount="109">
  <si>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</si>
  <si>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</si>
  <si>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</si>
  <si>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</si>
  <si>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</si>
  <si>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</si>
  <si>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</si>
  <si>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</si>
  <si>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</si>
  <si>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</si>
  <si>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</si>
  <si>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</si>
  <si>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</si>
  <si>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</si>
  <si>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</si>
  <si>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合計</t>
    <phoneticPr fontId="4" type="noConversion"/>
  </si>
  <si>
    <t>読解第4課</t>
    <rPh sb="0" eb="2">
      <t>ドッカイ</t>
    </rPh>
    <rPh sb="3" eb="4">
      <t>ダイカ</t>
    </rPh>
    <phoneticPr fontId="1"/>
  </si>
  <si>
    <t>出门</t>
    <phoneticPr fontId="1"/>
  </si>
  <si>
    <t>起床</t>
    <phoneticPr fontId="1"/>
  </si>
  <si>
    <t>开始</t>
    <phoneticPr fontId="1"/>
  </si>
  <si>
    <t>结束</t>
    <phoneticPr fontId="1"/>
  </si>
  <si>
    <t>同学</t>
    <phoneticPr fontId="1"/>
  </si>
  <si>
    <t>教室</t>
    <phoneticPr fontId="1"/>
  </si>
  <si>
    <t>食堂</t>
    <phoneticPr fontId="1"/>
  </si>
  <si>
    <t>每天</t>
    <phoneticPr fontId="1"/>
  </si>
  <si>
    <t>学校</t>
    <phoneticPr fontId="1"/>
  </si>
  <si>
    <t>Ａ</t>
    <phoneticPr fontId="1"/>
  </si>
  <si>
    <t>暑假7月20日从开始。</t>
  </si>
  <si>
    <t>Ｂ</t>
    <phoneticPr fontId="1"/>
  </si>
  <si>
    <t>暑假从7月20日开始。</t>
  </si>
  <si>
    <t>Ｃ</t>
    <phoneticPr fontId="1"/>
  </si>
  <si>
    <t>从暑假7月20日开始。</t>
  </si>
  <si>
    <t>Ｄ</t>
    <phoneticPr fontId="1"/>
  </si>
  <si>
    <t>从7月20日开始暑假。</t>
  </si>
  <si>
    <r>
      <t>きみは家で夕食（</t>
    </r>
    <r>
      <rPr>
        <sz val="11"/>
        <color theme="1"/>
        <rFont val="SimSun"/>
        <family val="3"/>
        <charset val="134"/>
      </rPr>
      <t>晚饭</t>
    </r>
    <r>
      <rPr>
        <sz val="11"/>
        <color theme="1"/>
        <rFont val="ＭＳ 明朝"/>
        <family val="1"/>
        <charset val="128"/>
      </rPr>
      <t>）を食べるか。</t>
    </r>
  </si>
  <si>
    <t>你家在吃晚饭吗？</t>
  </si>
  <si>
    <t>你吃晚饭在家吗？</t>
  </si>
  <si>
    <t>你家在晚饭吃吗？</t>
  </si>
  <si>
    <t>你在家吃晚饭吗？</t>
  </si>
  <si>
    <t>私は毎日六時半に起きる。</t>
    <phoneticPr fontId="1"/>
  </si>
  <si>
    <t>我每天起床6点半。</t>
  </si>
  <si>
    <t>我6点半每天起床。</t>
  </si>
  <si>
    <t>我每天6点半起床。</t>
  </si>
  <si>
    <t>我起床每天6点半。</t>
  </si>
  <si>
    <t>私は食堂へご飯を食べに行く。</t>
  </si>
  <si>
    <t>我去食堂吃饭。</t>
  </si>
  <si>
    <t>我食堂去吃饭。</t>
    <phoneticPr fontId="1"/>
  </si>
  <si>
    <t>我吃饭食堂去。</t>
  </si>
  <si>
    <t>我吃饭去食堂。</t>
  </si>
  <si>
    <t>中国語の授業は９時から11時までである。</t>
  </si>
  <si>
    <t>从9点到11点中文课。</t>
  </si>
  <si>
    <t>中文课9点从11点到。</t>
  </si>
  <si>
    <t>中文课到9点从11点。</t>
  </si>
  <si>
    <t>中文课从9点到11点。</t>
  </si>
  <si>
    <t>山田さんは毎日七時に起きる。</t>
  </si>
  <si>
    <t>彼女は毎日七時半に朝ご飯を食べる。</t>
    <phoneticPr fontId="1"/>
  </si>
  <si>
    <t>私は毎日９時から12時まで学校にいる。</t>
  </si>
  <si>
    <t>英語の授業は何時から始まるか。</t>
  </si>
  <si>
    <t>３限目の授業は二時五十分に終わる。</t>
  </si>
  <si>
    <t>私は学校へ中国語を勉強しに行く。</t>
  </si>
  <si>
    <t>君は食堂で昼食を取るか。</t>
  </si>
  <si>
    <t>授業を聴く学生もいれば、寝る学生もいる。</t>
    <phoneticPr fontId="1"/>
  </si>
  <si>
    <t>他晚上家里在吃晚饭。</t>
  </si>
  <si>
    <t>你每天回家六点吗？</t>
  </si>
  <si>
    <t>我们教室吃午饭。</t>
  </si>
  <si>
    <t>我九点从十二点在学校。</t>
  </si>
  <si>
    <t>明天山田来学校不。</t>
  </si>
  <si>
    <t>chu1me2n</t>
    <phoneticPr fontId="4" type="noConversion"/>
  </si>
  <si>
    <t>qi3chua2ng</t>
    <phoneticPr fontId="4" type="noConversion"/>
  </si>
  <si>
    <t>ka1ishi3</t>
    <phoneticPr fontId="4" type="noConversion"/>
  </si>
  <si>
    <t>to2ngxue2</t>
    <phoneticPr fontId="4" type="noConversion"/>
  </si>
  <si>
    <t>jia4oshi4</t>
    <phoneticPr fontId="4" type="noConversion"/>
  </si>
  <si>
    <t>shi2ta2ng</t>
    <phoneticPr fontId="4" type="noConversion"/>
  </si>
  <si>
    <t>me3itia1n</t>
    <phoneticPr fontId="4" type="noConversion"/>
  </si>
  <si>
    <t>xue2xia4o</t>
    <phoneticPr fontId="4" type="noConversion"/>
  </si>
  <si>
    <t>jie2shu4</t>
    <phoneticPr fontId="4" type="noConversion"/>
  </si>
  <si>
    <t>B</t>
    <phoneticPr fontId="4" type="noConversion"/>
  </si>
  <si>
    <t>D</t>
    <phoneticPr fontId="4" type="noConversion"/>
  </si>
  <si>
    <t>C</t>
    <phoneticPr fontId="4" type="noConversion"/>
  </si>
  <si>
    <t>A</t>
    <phoneticPr fontId="4" type="noConversion"/>
  </si>
  <si>
    <t>夏休みは７月20日から始まる。</t>
    <phoneticPr fontId="1"/>
  </si>
  <si>
    <t>我每天从9点到12点在学校。</t>
    <phoneticPr fontId="4" type="noConversion"/>
  </si>
  <si>
    <t>我从九点到十二点在学校。</t>
    <phoneticPr fontId="4" type="noConversion"/>
  </si>
  <si>
    <t>明天山田不来学校。</t>
    <phoneticPr fontId="4" type="noConversion"/>
  </si>
  <si>
    <t>每天  起床  七点  山田</t>
  </si>
  <si>
    <t>早饭  七点半  吃  她  每天</t>
  </si>
  <si>
    <t>从  到  每天  我  学校  在  9点  12点</t>
  </si>
  <si>
    <t>几点  课  从  开始  英文</t>
  </si>
  <si>
    <t>结束  十分  第三节  三点  课  差</t>
  </si>
  <si>
    <t>中文  去  学习  学校  我</t>
  </si>
  <si>
    <t>吗  在  你  午饭  食堂  吃</t>
  </si>
  <si>
    <t>睡觉  听课  同学  同学  有的  有的</t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</si>
  <si>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</si>
  <si>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</si>
  <si>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</si>
  <si>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</si>
  <si>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</si>
  <si>
    <t>hui2jia1</t>
    <phoneticPr fontId="4" type="noConversion"/>
  </si>
  <si>
    <t>回家</t>
    <phoneticPr fontId="1"/>
  </si>
  <si>
    <t>山田每天七点起床。</t>
    <phoneticPr fontId="4" type="noConversion"/>
  </si>
  <si>
    <r>
      <t>她每天七点半吃早</t>
    </r>
    <r>
      <rPr>
        <sz val="11"/>
        <color theme="1"/>
        <rFont val="ＭＳ Ｐゴシック"/>
        <family val="3"/>
        <charset val="134"/>
        <scheme val="minor"/>
      </rPr>
      <t>饭</t>
    </r>
    <r>
      <rPr>
        <sz val="11"/>
        <color theme="1"/>
        <rFont val="ＭＳ Ｐゴシック"/>
        <family val="2"/>
        <scheme val="minor"/>
      </rPr>
      <t>。</t>
    </r>
    <phoneticPr fontId="4" type="noConversion"/>
  </si>
  <si>
    <r>
      <t>英文</t>
    </r>
    <r>
      <rPr>
        <sz val="11"/>
        <color theme="1"/>
        <rFont val="ＭＳ Ｐゴシック"/>
        <family val="3"/>
        <charset val="134"/>
        <scheme val="minor"/>
      </rPr>
      <t>课</t>
    </r>
    <r>
      <rPr>
        <sz val="11"/>
        <color theme="1"/>
        <rFont val="ＭＳ Ｐゴシック"/>
        <family val="2"/>
        <scheme val="minor"/>
      </rPr>
      <t>从几点开始？</t>
    </r>
    <phoneticPr fontId="4" type="noConversion"/>
  </si>
  <si>
    <r>
      <t>第三</t>
    </r>
    <r>
      <rPr>
        <sz val="11"/>
        <color theme="1"/>
        <rFont val="ＭＳ Ｐゴシック"/>
        <family val="3"/>
        <charset val="134"/>
        <scheme val="minor"/>
      </rPr>
      <t>节课</t>
    </r>
    <r>
      <rPr>
        <sz val="11"/>
        <color theme="1"/>
        <rFont val="ＭＳ Ｐゴシック"/>
        <family val="2"/>
        <scheme val="minor"/>
      </rPr>
      <t>差十分三点</t>
    </r>
    <r>
      <rPr>
        <sz val="11"/>
        <color theme="1"/>
        <rFont val="ＭＳ Ｐゴシック"/>
        <family val="3"/>
        <charset val="134"/>
        <scheme val="minor"/>
      </rPr>
      <t>结</t>
    </r>
    <r>
      <rPr>
        <sz val="11"/>
        <color theme="1"/>
        <rFont val="ＭＳ Ｐゴシック"/>
        <family val="2"/>
        <scheme val="minor"/>
      </rPr>
      <t>束。</t>
    </r>
    <phoneticPr fontId="4" type="noConversion"/>
  </si>
  <si>
    <r>
      <t>我去学校学</t>
    </r>
    <r>
      <rPr>
        <sz val="11"/>
        <color theme="1"/>
        <rFont val="ＭＳ Ｐゴシック"/>
        <family val="3"/>
        <charset val="134"/>
        <scheme val="minor"/>
      </rPr>
      <t>习</t>
    </r>
    <r>
      <rPr>
        <sz val="11"/>
        <color theme="1"/>
        <rFont val="ＭＳ Ｐゴシック"/>
        <family val="2"/>
        <scheme val="minor"/>
      </rPr>
      <t>中文。</t>
    </r>
    <phoneticPr fontId="4" type="noConversion"/>
  </si>
  <si>
    <r>
      <t>你在食堂吃午</t>
    </r>
    <r>
      <rPr>
        <sz val="11"/>
        <color theme="1"/>
        <rFont val="ＭＳ Ｐゴシック"/>
        <family val="3"/>
        <charset val="134"/>
        <scheme val="minor"/>
      </rPr>
      <t>饭吗</t>
    </r>
    <r>
      <rPr>
        <sz val="11"/>
        <color theme="1"/>
        <rFont val="ＭＳ Ｐゴシック"/>
        <family val="2"/>
        <scheme val="minor"/>
      </rPr>
      <t>？</t>
    </r>
    <phoneticPr fontId="4" type="noConversion"/>
  </si>
  <si>
    <r>
      <t>有的同学听</t>
    </r>
    <r>
      <rPr>
        <sz val="11"/>
        <color theme="1"/>
        <rFont val="ＭＳ Ｐゴシック"/>
        <family val="3"/>
        <charset val="134"/>
        <scheme val="minor"/>
      </rPr>
      <t>课</t>
    </r>
    <r>
      <rPr>
        <sz val="11"/>
        <color theme="1"/>
        <rFont val="ＭＳ Ｐゴシック"/>
        <family val="2"/>
        <scheme val="minor"/>
      </rPr>
      <t>，有的同学睡</t>
    </r>
    <r>
      <rPr>
        <sz val="11"/>
        <color theme="1"/>
        <rFont val="ＭＳ Ｐゴシック"/>
        <family val="3"/>
        <charset val="134"/>
        <scheme val="minor"/>
      </rPr>
      <t>觉</t>
    </r>
    <r>
      <rPr>
        <sz val="11"/>
        <color theme="1"/>
        <rFont val="ＭＳ Ｐゴシック"/>
        <family val="2"/>
        <scheme val="minor"/>
      </rPr>
      <t>。</t>
    </r>
    <phoneticPr fontId="4" type="noConversion"/>
  </si>
  <si>
    <r>
      <t>他晚上在家里吃晚</t>
    </r>
    <r>
      <rPr>
        <sz val="11"/>
        <color theme="1"/>
        <rFont val="ＭＳ Ｐゴシック"/>
        <family val="3"/>
        <charset val="134"/>
        <scheme val="minor"/>
      </rPr>
      <t>饭</t>
    </r>
    <r>
      <rPr>
        <sz val="11"/>
        <color theme="1"/>
        <rFont val="ＭＳ Ｐゴシック"/>
        <family val="2"/>
        <scheme val="minor"/>
      </rPr>
      <t>。</t>
    </r>
    <phoneticPr fontId="4" type="noConversion"/>
  </si>
  <si>
    <r>
      <t>你每天六点回家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4" type="noConversion"/>
  </si>
  <si>
    <r>
      <t>我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在教室吃午</t>
    </r>
    <r>
      <rPr>
        <sz val="11"/>
        <color theme="1"/>
        <rFont val="ＭＳ Ｐゴシック"/>
        <family val="3"/>
        <charset val="134"/>
        <scheme val="minor"/>
      </rPr>
      <t>饭</t>
    </r>
    <r>
      <rPr>
        <sz val="11"/>
        <color theme="1"/>
        <rFont val="ＭＳ Ｐゴシック"/>
        <family val="2"/>
        <scheme val="minor"/>
      </rPr>
      <t>。</t>
    </r>
    <phoneticPr fontId="4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</si>
</sst>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name val="SimSun"/>
      <family val="3"/>
      <charset val="134"/>
    </font>
    <font>
      <sz val="11"/>
      <name val="ＭＳ Ｐゴシック"/>
      <family val="2"/>
      <scheme val="minor"/>
    </font>
    <font>
      <b/>
      <sz val="11"/>
      <color theme="1"/>
      <name val="SimSun"/>
      <family val="3"/>
      <charset val="134"/>
    </font>
    <font>
      <sz val="10"/>
      <color theme="1"/>
      <name val="ＭＳ Ｐゴシック"/>
      <family val="2"/>
      <scheme val="minor"/>
    </font>
    <font>
      <sz val="10"/>
      <color theme="1"/>
      <name val="SimSun"/>
      <family val="3"/>
      <charset val="134"/>
    </font>
    <font>
      <sz val="10"/>
      <color theme="1"/>
      <name val="NH3声調"/>
      <family val="3"/>
      <charset val="128"/>
    </font>
    <font>
      <b/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8" fillId="3" borderId="0" xfId="0" applyFont="1" applyFill="1"/>
    <xf numFmtId="0" fontId="9" fillId="0" borderId="0" xfId="0" applyFont="1"/>
    <xf numFmtId="0" fontId="10" fillId="2" borderId="0" xfId="0" applyFont="1" applyFill="1"/>
    <xf numFmtId="0" fontId="11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9" fontId="0" fillId="0" borderId="0" xfId="0" applyNumberFormat="1"/>
    <xf numFmtId="0" fontId="12" fillId="3" borderId="0" xfId="0" applyFont="1" applyFill="1"/>
    <xf numFmtId="0" fontId="3" fillId="0" borderId="0" xfId="0" applyFont="1" applyAlignment="1">
      <alignment horizontal="center" vertical="center"/>
    </xf>
    <xf numFmtId="0" fontId="10" fillId="2" borderId="2" xfId="0" applyFont="1" applyFill="1" applyBorder="1"/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5" fillId="4" borderId="0" xfId="0" applyFont="1" applyFill="1" applyAlignment="1"/>
    <xf numFmtId="0" fontId="2" fillId="4" borderId="0" xfId="0" applyFont="1" applyFill="1" applyAlignment="1"/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59"/>
  <sheetViews>
    <sheetView tabSelected="1" zoomScale="145" zoomScaleNormal="145" workbookViewId="0">
      <selection activeCell="Y5" sqref="Y5"/>
    </sheetView>
  </sheetViews>
  <sheetFormatPr defaultRowHeight="13.5"/>
  <cols>
    <col min="1" max="32" width="2.625" style="3" customWidth="1"/>
    <col min="33" max="16384" width="9" style="3"/>
  </cols>
  <sheetData>
    <row r="1" spans="2:26">
      <c r="C1" s="5" t="s">
        <v>16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6" t="s">
        <v>1</v>
      </c>
      <c r="Q1" s="36"/>
      <c r="R1" s="39"/>
      <c r="S1" s="40"/>
      <c r="T1" s="40"/>
      <c r="U1" s="40"/>
      <c r="V1" s="40"/>
      <c r="W1" s="40"/>
      <c r="X1" s="40"/>
      <c r="Y1" s="5"/>
    </row>
    <row r="2" spans="2:26">
      <c r="C2" s="36" t="s">
        <v>0</v>
      </c>
      <c r="D2" s="36"/>
      <c r="E2" s="39"/>
      <c r="F2" s="39"/>
      <c r="G2" s="39"/>
      <c r="H2" s="39"/>
      <c r="I2" s="39"/>
      <c r="J2" s="39"/>
      <c r="K2" s="39"/>
      <c r="L2" s="39"/>
      <c r="M2" s="5"/>
      <c r="N2" s="5"/>
      <c r="O2" s="5"/>
      <c r="P2" s="36" t="s">
        <v>2</v>
      </c>
      <c r="Q2" s="36"/>
      <c r="R2" s="36"/>
      <c r="S2" s="39"/>
      <c r="T2" s="39"/>
      <c r="U2" s="39"/>
      <c r="V2" s="39"/>
      <c r="W2" s="39"/>
      <c r="X2" s="39"/>
      <c r="Y2" s="39"/>
    </row>
    <row r="3" spans="2:26">
      <c r="B3" s="5" t="s">
        <v>7</v>
      </c>
    </row>
    <row r="4" spans="2:26" s="19" customFormat="1" ht="12">
      <c r="D4" s="27"/>
      <c r="G4" s="20"/>
      <c r="H4" s="27"/>
      <c r="J4" s="20"/>
      <c r="L4" s="27"/>
      <c r="N4" s="20"/>
      <c r="P4" s="27"/>
      <c r="R4" s="20"/>
      <c r="T4" s="27"/>
    </row>
    <row r="5" spans="2:26" s="10" customFormat="1">
      <c r="D5" s="41" t="s">
        <v>17</v>
      </c>
      <c r="E5" s="41"/>
      <c r="F5" s="6"/>
      <c r="H5" s="13" t="s">
        <v>18</v>
      </c>
      <c r="I5" s="13"/>
      <c r="L5" s="13" t="s">
        <v>19</v>
      </c>
      <c r="N5" s="13"/>
      <c r="P5" s="10" t="s">
        <v>20</v>
      </c>
      <c r="R5" s="13"/>
      <c r="T5" s="26" t="s">
        <v>98</v>
      </c>
      <c r="U5" s="6"/>
      <c r="V5" s="9"/>
    </row>
    <row r="6" spans="2:26" s="19" customFormat="1" ht="12">
      <c r="D6" s="27"/>
      <c r="E6" s="21"/>
      <c r="F6" s="22"/>
      <c r="G6" s="20"/>
      <c r="H6" s="27"/>
      <c r="I6" s="23"/>
      <c r="J6" s="20"/>
      <c r="L6" s="27"/>
      <c r="N6" s="20"/>
      <c r="P6" s="27"/>
      <c r="R6" s="20"/>
      <c r="T6" s="27"/>
      <c r="U6" s="22"/>
      <c r="V6" s="22"/>
    </row>
    <row r="7" spans="2:26" s="10" customFormat="1">
      <c r="D7" s="41" t="s">
        <v>21</v>
      </c>
      <c r="E7" s="41"/>
      <c r="F7" s="6"/>
      <c r="H7" s="13" t="s">
        <v>22</v>
      </c>
      <c r="I7" s="13"/>
      <c r="L7" s="13" t="s">
        <v>23</v>
      </c>
      <c r="N7" s="13"/>
      <c r="P7" s="13" t="s">
        <v>24</v>
      </c>
      <c r="R7" s="13"/>
      <c r="T7" s="13" t="s">
        <v>25</v>
      </c>
      <c r="U7" s="6"/>
      <c r="V7" s="9"/>
    </row>
    <row r="8" spans="2:26">
      <c r="B8" s="5" t="s">
        <v>3</v>
      </c>
    </row>
    <row r="9" spans="2:26">
      <c r="C9" s="1">
        <v>1</v>
      </c>
      <c r="D9" s="5" t="s">
        <v>80</v>
      </c>
      <c r="E9" s="8"/>
      <c r="F9" s="8"/>
      <c r="G9" s="8"/>
      <c r="H9" s="8"/>
      <c r="I9" s="8"/>
      <c r="J9" s="8"/>
      <c r="K9" s="8"/>
      <c r="L9" s="8"/>
      <c r="M9" s="8"/>
      <c r="P9" s="12"/>
      <c r="R9" s="4"/>
      <c r="S9" s="36" t="s">
        <v>4</v>
      </c>
      <c r="T9" s="36"/>
      <c r="U9" s="38"/>
      <c r="V9" s="38"/>
      <c r="W9" s="38"/>
    </row>
    <row r="10" spans="2:26">
      <c r="C10" s="2"/>
      <c r="D10" s="2" t="s">
        <v>26</v>
      </c>
      <c r="E10" s="10" t="s">
        <v>27</v>
      </c>
      <c r="F10" s="14"/>
      <c r="G10" s="14"/>
      <c r="H10" s="14"/>
      <c r="I10" s="14"/>
      <c r="J10" s="14"/>
      <c r="K10" s="14"/>
      <c r="L10" s="14"/>
      <c r="M10" s="14"/>
      <c r="O10" s="2" t="s">
        <v>28</v>
      </c>
      <c r="P10" s="5" t="s">
        <v>29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2"/>
      <c r="D11" s="2" t="s">
        <v>30</v>
      </c>
      <c r="E11" s="10" t="s">
        <v>31</v>
      </c>
      <c r="F11" s="14"/>
      <c r="G11" s="14"/>
      <c r="H11" s="14"/>
      <c r="I11" s="14"/>
      <c r="J11" s="14"/>
      <c r="K11" s="14"/>
      <c r="L11" s="14"/>
      <c r="M11" s="14"/>
      <c r="O11" s="2" t="s">
        <v>32</v>
      </c>
      <c r="P11" s="10" t="s">
        <v>33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>
      <c r="C12" s="1">
        <v>2</v>
      </c>
      <c r="D12" s="5" t="s">
        <v>34</v>
      </c>
      <c r="E12" s="7"/>
      <c r="F12" s="7"/>
      <c r="G12" s="7"/>
      <c r="H12" s="7"/>
      <c r="I12" s="7"/>
      <c r="J12" s="7"/>
      <c r="K12" s="7"/>
      <c r="L12" s="7"/>
      <c r="M12" s="7"/>
      <c r="P12" s="12"/>
      <c r="R12" s="4"/>
      <c r="S12" s="36" t="s">
        <v>4</v>
      </c>
      <c r="T12" s="36"/>
      <c r="U12" s="38"/>
      <c r="V12" s="38"/>
      <c r="W12" s="38"/>
    </row>
    <row r="13" spans="2:26">
      <c r="C13" s="2"/>
      <c r="D13" s="2" t="s">
        <v>26</v>
      </c>
      <c r="E13" s="10" t="s">
        <v>35</v>
      </c>
      <c r="F13" s="15"/>
      <c r="G13" s="15"/>
      <c r="H13" s="15"/>
      <c r="I13" s="15"/>
      <c r="J13" s="15"/>
      <c r="K13" s="15"/>
      <c r="L13" s="15"/>
      <c r="M13" s="15"/>
      <c r="O13" s="2" t="s">
        <v>28</v>
      </c>
      <c r="P13" s="10" t="s">
        <v>36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2"/>
      <c r="D14" s="2" t="s">
        <v>30</v>
      </c>
      <c r="E14" s="10" t="s">
        <v>37</v>
      </c>
      <c r="F14" s="14"/>
      <c r="G14" s="14"/>
      <c r="H14" s="14"/>
      <c r="I14" s="14"/>
      <c r="J14" s="14"/>
      <c r="K14" s="14"/>
      <c r="L14" s="14"/>
      <c r="M14" s="14"/>
      <c r="O14" s="2" t="s">
        <v>32</v>
      </c>
      <c r="P14" s="10" t="s">
        <v>38</v>
      </c>
      <c r="Q14" s="14"/>
      <c r="R14" s="14"/>
      <c r="S14" s="14"/>
      <c r="T14" s="14"/>
      <c r="U14" s="9"/>
      <c r="V14" s="9"/>
      <c r="W14" s="9"/>
      <c r="X14" s="9"/>
      <c r="Y14" s="9"/>
      <c r="Z14" s="9"/>
    </row>
    <row r="15" spans="2:26">
      <c r="C15" s="1">
        <v>3</v>
      </c>
      <c r="D15" s="5" t="s">
        <v>39</v>
      </c>
      <c r="E15" s="7"/>
      <c r="F15" s="7"/>
      <c r="G15" s="7"/>
      <c r="H15" s="7"/>
      <c r="I15" s="7"/>
      <c r="J15" s="7"/>
      <c r="K15" s="7"/>
      <c r="L15" s="7"/>
      <c r="M15" s="7"/>
      <c r="O15" s="37"/>
      <c r="P15" s="37"/>
      <c r="R15" s="4"/>
      <c r="S15" s="36" t="s">
        <v>4</v>
      </c>
      <c r="T15" s="36"/>
      <c r="U15" s="38"/>
      <c r="V15" s="38"/>
      <c r="W15" s="38"/>
    </row>
    <row r="16" spans="2:26">
      <c r="C16" s="2"/>
      <c r="D16" s="2" t="s">
        <v>26</v>
      </c>
      <c r="E16" s="10" t="s">
        <v>40</v>
      </c>
      <c r="F16" s="15"/>
      <c r="G16" s="15"/>
      <c r="H16" s="15"/>
      <c r="I16" s="15"/>
      <c r="J16" s="15"/>
      <c r="K16" s="15"/>
      <c r="L16" s="15"/>
      <c r="M16" s="15"/>
      <c r="O16" s="2" t="s">
        <v>28</v>
      </c>
      <c r="P16" s="10" t="s">
        <v>41</v>
      </c>
      <c r="Q16" s="9"/>
      <c r="R16" s="9"/>
      <c r="S16" s="9"/>
      <c r="T16" s="9"/>
    </row>
    <row r="17" spans="2:26">
      <c r="C17" s="2"/>
      <c r="D17" s="16" t="s">
        <v>30</v>
      </c>
      <c r="E17" s="10" t="s">
        <v>42</v>
      </c>
      <c r="F17" s="14"/>
      <c r="G17" s="14"/>
      <c r="H17" s="14"/>
      <c r="I17" s="14"/>
      <c r="J17" s="14"/>
      <c r="K17" s="14"/>
      <c r="L17" s="14"/>
      <c r="M17" s="14"/>
      <c r="O17" s="2" t="s">
        <v>32</v>
      </c>
      <c r="P17" s="10" t="s">
        <v>43</v>
      </c>
      <c r="Q17" s="14"/>
      <c r="R17" s="14"/>
      <c r="S17" s="14"/>
      <c r="T17" s="14"/>
    </row>
    <row r="18" spans="2:26">
      <c r="C18" s="1">
        <v>4</v>
      </c>
      <c r="D18" s="5" t="s">
        <v>44</v>
      </c>
      <c r="E18" s="7"/>
      <c r="F18" s="7"/>
      <c r="G18" s="7"/>
      <c r="H18" s="7"/>
      <c r="I18" s="7"/>
      <c r="J18" s="7"/>
      <c r="K18" s="7"/>
      <c r="L18" s="7"/>
      <c r="M18" s="7"/>
      <c r="O18" s="37"/>
      <c r="P18" s="37"/>
      <c r="R18" s="4"/>
      <c r="S18" s="36" t="s">
        <v>4</v>
      </c>
      <c r="T18" s="36"/>
      <c r="U18" s="38"/>
      <c r="V18" s="38"/>
      <c r="W18" s="38"/>
    </row>
    <row r="19" spans="2:26">
      <c r="C19" s="2"/>
      <c r="D19" s="2" t="s">
        <v>26</v>
      </c>
      <c r="E19" s="10" t="s">
        <v>45</v>
      </c>
      <c r="F19" s="15"/>
      <c r="G19" s="15"/>
      <c r="H19" s="15"/>
      <c r="I19" s="15"/>
      <c r="J19" s="15"/>
      <c r="K19" s="15"/>
      <c r="L19" s="15"/>
      <c r="M19" s="15"/>
      <c r="O19" s="2" t="s">
        <v>28</v>
      </c>
      <c r="P19" s="10" t="s">
        <v>46</v>
      </c>
      <c r="Q19" s="9"/>
      <c r="R19" s="9"/>
      <c r="S19" s="9"/>
      <c r="T19" s="9"/>
    </row>
    <row r="20" spans="2:26">
      <c r="C20" s="2"/>
      <c r="D20" s="2" t="s">
        <v>30</v>
      </c>
      <c r="E20" s="10" t="s">
        <v>47</v>
      </c>
      <c r="F20" s="14"/>
      <c r="G20" s="14"/>
      <c r="H20" s="14"/>
      <c r="I20" s="14"/>
      <c r="J20" s="14"/>
      <c r="K20" s="14"/>
      <c r="L20" s="14"/>
      <c r="M20" s="14"/>
      <c r="O20" s="2" t="s">
        <v>32</v>
      </c>
      <c r="P20" s="10" t="s">
        <v>48</v>
      </c>
      <c r="Q20" s="14"/>
      <c r="R20" s="14"/>
      <c r="S20" s="14"/>
      <c r="T20" s="14"/>
    </row>
    <row r="21" spans="2:26">
      <c r="C21" s="1">
        <v>5</v>
      </c>
      <c r="D21" s="5" t="s">
        <v>49</v>
      </c>
      <c r="Q21" s="12"/>
      <c r="R21" s="4"/>
      <c r="S21" s="36" t="s">
        <v>4</v>
      </c>
      <c r="T21" s="36"/>
      <c r="U21" s="38"/>
      <c r="V21" s="38"/>
      <c r="W21" s="38"/>
    </row>
    <row r="22" spans="2:26">
      <c r="D22" s="2" t="s">
        <v>26</v>
      </c>
      <c r="E22" s="10" t="s">
        <v>50</v>
      </c>
      <c r="F22" s="15"/>
      <c r="G22" s="15"/>
      <c r="H22" s="15"/>
      <c r="I22" s="15"/>
      <c r="J22" s="15"/>
      <c r="K22" s="15"/>
      <c r="L22" s="15"/>
      <c r="M22" s="15"/>
      <c r="O22" s="2" t="s">
        <v>28</v>
      </c>
      <c r="P22" s="10" t="s">
        <v>51</v>
      </c>
      <c r="Q22" s="9"/>
      <c r="R22" s="9"/>
      <c r="S22" s="9"/>
    </row>
    <row r="23" spans="2:26">
      <c r="D23" s="2" t="s">
        <v>30</v>
      </c>
      <c r="E23" s="10" t="s">
        <v>52</v>
      </c>
      <c r="F23" s="14"/>
      <c r="G23" s="14"/>
      <c r="H23" s="14"/>
      <c r="I23" s="14"/>
      <c r="J23" s="14"/>
      <c r="K23" s="14"/>
      <c r="L23" s="14"/>
      <c r="M23" s="14"/>
      <c r="O23" s="2" t="s">
        <v>32</v>
      </c>
      <c r="P23" s="17" t="s">
        <v>53</v>
      </c>
      <c r="Q23" s="14"/>
      <c r="R23" s="14"/>
      <c r="S23" s="14"/>
    </row>
    <row r="24" spans="2:26">
      <c r="B24" s="3" t="s">
        <v>5</v>
      </c>
    </row>
    <row r="25" spans="2:26">
      <c r="C25" s="1">
        <v>1</v>
      </c>
      <c r="D25" s="5" t="s">
        <v>54</v>
      </c>
    </row>
    <row r="26" spans="2:26" s="10" customFormat="1">
      <c r="C26" s="13"/>
      <c r="D26" s="10" t="s">
        <v>84</v>
      </c>
    </row>
    <row r="27" spans="2:26" s="10" customFormat="1">
      <c r="C27" s="13"/>
      <c r="D27" s="33" t="s">
        <v>4</v>
      </c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2:26">
      <c r="C28" s="1">
        <v>2</v>
      </c>
      <c r="D28" s="5" t="s">
        <v>55</v>
      </c>
    </row>
    <row r="29" spans="2:26" s="10" customFormat="1">
      <c r="C29" s="13"/>
      <c r="D29" s="10" t="s">
        <v>85</v>
      </c>
    </row>
    <row r="30" spans="2:26" s="10" customFormat="1">
      <c r="C30" s="13"/>
      <c r="D30" s="33" t="s">
        <v>4</v>
      </c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2:26">
      <c r="C31" s="1">
        <v>3</v>
      </c>
      <c r="D31" s="5" t="s">
        <v>56</v>
      </c>
    </row>
    <row r="32" spans="2:26" s="10" customFormat="1">
      <c r="C32" s="13"/>
      <c r="D32" s="10" t="s">
        <v>86</v>
      </c>
    </row>
    <row r="33" spans="3:26" s="10" customFormat="1">
      <c r="C33" s="13"/>
      <c r="D33" s="33" t="s">
        <v>4</v>
      </c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3:26">
      <c r="C34" s="1">
        <v>4</v>
      </c>
      <c r="D34" s="5" t="s">
        <v>57</v>
      </c>
    </row>
    <row r="35" spans="3:26" s="10" customFormat="1">
      <c r="C35" s="13"/>
      <c r="D35" s="10" t="s">
        <v>87</v>
      </c>
    </row>
    <row r="36" spans="3:26" s="10" customFormat="1">
      <c r="C36" s="13"/>
      <c r="D36" s="33" t="s">
        <v>4</v>
      </c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3:26">
      <c r="C37" s="1">
        <v>5</v>
      </c>
      <c r="D37" s="5" t="s">
        <v>58</v>
      </c>
    </row>
    <row r="38" spans="3:26" s="10" customFormat="1">
      <c r="D38" s="10" t="s">
        <v>88</v>
      </c>
    </row>
    <row r="39" spans="3:26" s="10" customFormat="1">
      <c r="D39" s="33" t="s">
        <v>4</v>
      </c>
      <c r="E39" s="33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3:26">
      <c r="C40" s="2">
        <v>6</v>
      </c>
      <c r="D40" s="5" t="s">
        <v>59</v>
      </c>
    </row>
    <row r="41" spans="3:26" s="10" customFormat="1">
      <c r="D41" s="10" t="s">
        <v>89</v>
      </c>
    </row>
    <row r="42" spans="3:26" s="10" customFormat="1">
      <c r="D42" s="33" t="s">
        <v>4</v>
      </c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3:26">
      <c r="C43" s="1">
        <v>7</v>
      </c>
      <c r="D43" s="5" t="s">
        <v>60</v>
      </c>
    </row>
    <row r="44" spans="3:26" s="10" customFormat="1">
      <c r="C44" s="13"/>
      <c r="D44" s="10" t="s">
        <v>90</v>
      </c>
    </row>
    <row r="45" spans="3:26" s="10" customFormat="1">
      <c r="C45" s="13"/>
      <c r="D45" s="33" t="s">
        <v>4</v>
      </c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3:26">
      <c r="C46" s="1">
        <v>8</v>
      </c>
      <c r="D46" s="5" t="s">
        <v>61</v>
      </c>
    </row>
    <row r="47" spans="3:26" s="10" customFormat="1">
      <c r="D47" s="10" t="s">
        <v>91</v>
      </c>
    </row>
    <row r="48" spans="3:26" s="10" customFormat="1">
      <c r="D48" s="33" t="s">
        <v>4</v>
      </c>
      <c r="E48" s="33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2:26">
      <c r="B49" s="5" t="s">
        <v>6</v>
      </c>
    </row>
    <row r="50" spans="2:26" s="10" customFormat="1">
      <c r="C50" s="13">
        <v>1</v>
      </c>
      <c r="D50" s="10" t="s">
        <v>62</v>
      </c>
      <c r="E50" s="13"/>
      <c r="F50" s="13"/>
      <c r="G50" s="13"/>
      <c r="H50" s="13"/>
      <c r="I50" s="13"/>
      <c r="J50" s="13"/>
    </row>
    <row r="51" spans="2:26" s="10" customFormat="1">
      <c r="C51" s="13"/>
      <c r="D51" s="33" t="s">
        <v>4</v>
      </c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2:26" s="10" customFormat="1">
      <c r="C52" s="13">
        <v>2</v>
      </c>
      <c r="D52" s="10" t="s">
        <v>63</v>
      </c>
      <c r="E52" s="13"/>
      <c r="F52" s="13"/>
      <c r="G52" s="13"/>
      <c r="H52" s="13"/>
      <c r="I52" s="13"/>
      <c r="J52" s="13"/>
    </row>
    <row r="53" spans="2:26" s="10" customFormat="1">
      <c r="C53" s="13"/>
      <c r="D53" s="33" t="s">
        <v>4</v>
      </c>
      <c r="E53" s="33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2:26" s="10" customFormat="1">
      <c r="C54" s="13">
        <v>3</v>
      </c>
      <c r="D54" s="10" t="s">
        <v>64</v>
      </c>
      <c r="E54" s="13"/>
      <c r="F54" s="13"/>
      <c r="G54" s="13"/>
      <c r="H54" s="13"/>
      <c r="I54" s="13"/>
      <c r="J54" s="13"/>
    </row>
    <row r="55" spans="2:26" s="10" customFormat="1">
      <c r="C55" s="13"/>
      <c r="D55" s="33" t="s">
        <v>4</v>
      </c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2:26" s="10" customFormat="1">
      <c r="C56" s="13">
        <v>4</v>
      </c>
      <c r="D56" s="10" t="s">
        <v>65</v>
      </c>
      <c r="E56" s="13"/>
      <c r="F56" s="13"/>
      <c r="G56" s="13"/>
      <c r="H56" s="13"/>
      <c r="I56" s="13"/>
      <c r="J56" s="13"/>
    </row>
    <row r="57" spans="2:26" s="10" customFormat="1">
      <c r="C57" s="13"/>
      <c r="D57" s="33" t="s">
        <v>4</v>
      </c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2:26" s="10" customFormat="1">
      <c r="C58" s="13">
        <v>5</v>
      </c>
      <c r="D58" s="10" t="s">
        <v>66</v>
      </c>
      <c r="E58" s="13"/>
      <c r="F58" s="13"/>
      <c r="G58" s="13"/>
      <c r="H58" s="13"/>
      <c r="I58" s="13"/>
      <c r="J58" s="13"/>
    </row>
    <row r="59" spans="2:26" s="10" customFormat="1">
      <c r="D59" s="33" t="s">
        <v>4</v>
      </c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</sheetData>
  <mergeCells count="46">
    <mergeCell ref="D7:E7"/>
    <mergeCell ref="C2:D2"/>
    <mergeCell ref="E2:L2"/>
    <mergeCell ref="D5:E5"/>
    <mergeCell ref="P1:Q1"/>
    <mergeCell ref="P2:R2"/>
    <mergeCell ref="S2:Y2"/>
    <mergeCell ref="O15:P15"/>
    <mergeCell ref="R1:X1"/>
    <mergeCell ref="S9:T9"/>
    <mergeCell ref="U9:W9"/>
    <mergeCell ref="U12:W12"/>
    <mergeCell ref="U15:W15"/>
    <mergeCell ref="D27:E27"/>
    <mergeCell ref="F27:Z27"/>
    <mergeCell ref="S12:T12"/>
    <mergeCell ref="D30:E30"/>
    <mergeCell ref="F30:Z30"/>
    <mergeCell ref="O18:P18"/>
    <mergeCell ref="S15:T15"/>
    <mergeCell ref="S18:T18"/>
    <mergeCell ref="S21:T21"/>
    <mergeCell ref="U18:W18"/>
    <mergeCell ref="U21:W21"/>
    <mergeCell ref="D33:E33"/>
    <mergeCell ref="F33:Z33"/>
    <mergeCell ref="D36:E36"/>
    <mergeCell ref="F36:Z36"/>
    <mergeCell ref="D39:E39"/>
    <mergeCell ref="F39:Z39"/>
    <mergeCell ref="D42:E42"/>
    <mergeCell ref="F42:Z42"/>
    <mergeCell ref="D45:E45"/>
    <mergeCell ref="F45:Z45"/>
    <mergeCell ref="D48:E48"/>
    <mergeCell ref="F48:Z48"/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</mergeCells>
  <phoneticPr fontId="1"/>
  <conditionalFormatting sqref="D4">
    <cfRule type="containsBlanks" dxfId="40" priority="31">
      <formula>LEN(TRIM(D4))=0</formula>
    </cfRule>
  </conditionalFormatting>
  <conditionalFormatting sqref="D6">
    <cfRule type="containsBlanks" dxfId="39" priority="30">
      <formula>LEN(TRIM(D6))=0</formula>
    </cfRule>
  </conditionalFormatting>
  <conditionalFormatting sqref="H4">
    <cfRule type="containsBlanks" dxfId="38" priority="29">
      <formula>LEN(TRIM(H4))=0</formula>
    </cfRule>
  </conditionalFormatting>
  <conditionalFormatting sqref="H6">
    <cfRule type="containsBlanks" dxfId="37" priority="28">
      <formula>LEN(TRIM(H6))=0</formula>
    </cfRule>
  </conditionalFormatting>
  <conditionalFormatting sqref="L4">
    <cfRule type="containsBlanks" dxfId="36" priority="27">
      <formula>LEN(TRIM(L4))=0</formula>
    </cfRule>
  </conditionalFormatting>
  <conditionalFormatting sqref="L6">
    <cfRule type="containsBlanks" dxfId="35" priority="26">
      <formula>LEN(TRIM(L6))=0</formula>
    </cfRule>
  </conditionalFormatting>
  <conditionalFormatting sqref="P4">
    <cfRule type="containsBlanks" dxfId="34" priority="25">
      <formula>LEN(TRIM(P4))=0</formula>
    </cfRule>
  </conditionalFormatting>
  <conditionalFormatting sqref="P6">
    <cfRule type="containsBlanks" dxfId="33" priority="24">
      <formula>LEN(TRIM(P6))=0</formula>
    </cfRule>
  </conditionalFormatting>
  <conditionalFormatting sqref="T4">
    <cfRule type="containsBlanks" dxfId="32" priority="23">
      <formula>LEN(TRIM(T4))=0</formula>
    </cfRule>
  </conditionalFormatting>
  <conditionalFormatting sqref="T6">
    <cfRule type="containsBlanks" dxfId="31" priority="22">
      <formula>LEN(TRIM(T6))=0</formula>
    </cfRule>
  </conditionalFormatting>
  <conditionalFormatting sqref="U9:W9">
    <cfRule type="containsBlanks" dxfId="30" priority="21">
      <formula>LEN(TRIM(U9))=0</formula>
    </cfRule>
  </conditionalFormatting>
  <conditionalFormatting sqref="U12:W12">
    <cfRule type="containsBlanks" dxfId="29" priority="20">
      <formula>LEN(TRIM(U12))=0</formula>
    </cfRule>
  </conditionalFormatting>
  <conditionalFormatting sqref="U15:W15">
    <cfRule type="containsBlanks" dxfId="28" priority="19">
      <formula>LEN(TRIM(U15))=0</formula>
    </cfRule>
  </conditionalFormatting>
  <conditionalFormatting sqref="U18:W18">
    <cfRule type="containsBlanks" dxfId="27" priority="18">
      <formula>LEN(TRIM(U18))=0</formula>
    </cfRule>
  </conditionalFormatting>
  <conditionalFormatting sqref="U21:W21">
    <cfRule type="containsBlanks" dxfId="26" priority="17">
      <formula>LEN(TRIM(U21))=0</formula>
    </cfRule>
  </conditionalFormatting>
  <conditionalFormatting sqref="F27:Z27">
    <cfRule type="containsBlanks" dxfId="25" priority="16">
      <formula>LEN(TRIM(F27))=0</formula>
    </cfRule>
  </conditionalFormatting>
  <conditionalFormatting sqref="F30:Z30">
    <cfRule type="containsBlanks" dxfId="24" priority="15">
      <formula>LEN(TRIM(F30))=0</formula>
    </cfRule>
  </conditionalFormatting>
  <conditionalFormatting sqref="F33:Z33">
    <cfRule type="containsBlanks" dxfId="23" priority="14">
      <formula>LEN(TRIM(F33))=0</formula>
    </cfRule>
  </conditionalFormatting>
  <conditionalFormatting sqref="F36:Z36">
    <cfRule type="containsBlanks" dxfId="22" priority="13">
      <formula>LEN(TRIM(F36))=0</formula>
    </cfRule>
  </conditionalFormatting>
  <conditionalFormatting sqref="F39:Z39">
    <cfRule type="containsBlanks" dxfId="21" priority="12">
      <formula>LEN(TRIM(F39))=0</formula>
    </cfRule>
  </conditionalFormatting>
  <conditionalFormatting sqref="F42:Z42">
    <cfRule type="containsBlanks" dxfId="20" priority="11">
      <formula>LEN(TRIM(F42))=0</formula>
    </cfRule>
  </conditionalFormatting>
  <conditionalFormatting sqref="F45:Z45">
    <cfRule type="containsBlanks" dxfId="19" priority="10">
      <formula>LEN(TRIM(F45))=0</formula>
    </cfRule>
  </conditionalFormatting>
  <conditionalFormatting sqref="F48:Z48">
    <cfRule type="containsBlanks" dxfId="18" priority="9">
      <formula>LEN(TRIM(F48))=0</formula>
    </cfRule>
  </conditionalFormatting>
  <conditionalFormatting sqref="F51:Z51">
    <cfRule type="containsBlanks" dxfId="17" priority="8">
      <formula>LEN(TRIM(F51))=0</formula>
    </cfRule>
  </conditionalFormatting>
  <conditionalFormatting sqref="F53:Z53">
    <cfRule type="containsBlanks" dxfId="16" priority="7">
      <formula>LEN(TRIM(F53))=0</formula>
    </cfRule>
  </conditionalFormatting>
  <conditionalFormatting sqref="F55:Z55">
    <cfRule type="containsBlanks" dxfId="15" priority="6">
      <formula>LEN(TRIM(F55))=0</formula>
    </cfRule>
  </conditionalFormatting>
  <conditionalFormatting sqref="F57:Z57">
    <cfRule type="containsBlanks" dxfId="14" priority="5">
      <formula>LEN(TRIM(F57))=0</formula>
    </cfRule>
  </conditionalFormatting>
  <conditionalFormatting sqref="F59:Z59">
    <cfRule type="containsBlanks" dxfId="13" priority="4">
      <formula>LEN(TRIM(F59))=0</formula>
    </cfRule>
  </conditionalFormatting>
  <conditionalFormatting sqref="E2:L2">
    <cfRule type="containsBlanks" dxfId="12" priority="3">
      <formula>LEN(TRIM(E2))=0</formula>
    </cfRule>
  </conditionalFormatting>
  <conditionalFormatting sqref="R1:X1">
    <cfRule type="containsBlanks" dxfId="11" priority="2">
      <formula>LEN(TRIM(R1))=0</formula>
    </cfRule>
  </conditionalFormatting>
  <conditionalFormatting sqref="S2:Y2">
    <cfRule type="containsBlanks" dxfId="10" priority="1">
      <formula>LEN(TRIM(S2))=0</formula>
    </cfRule>
  </conditionalFormatting>
  <dataValidations count="2">
    <dataValidation type="list" allowBlank="1" showInputMessage="1" showErrorMessage="1" sqref="R9 R12 R15 R18 R21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topLeftCell="A22" workbookViewId="0">
      <selection activeCell="C35" sqref="A1:XFD1048576"/>
    </sheetView>
  </sheetViews>
  <sheetFormatPr defaultRowHeight="13.5"/>
  <cols>
    <col min="1" max="1" width="2.625" style="29" customWidth="1"/>
    <col min="2" max="2" width="4.125" style="29" customWidth="1"/>
    <col min="3" max="3" width="71.625" style="29" customWidth="1"/>
    <col min="4" max="4" width="4.75" style="29" customWidth="1"/>
    <col min="5" max="5" width="41.75" style="29" customWidth="1"/>
    <col min="6" max="6" width="3.625" style="29" customWidth="1"/>
    <col min="7" max="16384" width="9" style="29"/>
  </cols>
  <sheetData>
    <row r="1" spans="1:32">
      <c r="A1" s="28"/>
      <c r="B1" s="28"/>
      <c r="C1" s="28" t="s">
        <v>8</v>
      </c>
      <c r="E1" s="28" t="s">
        <v>13</v>
      </c>
      <c r="F1" s="28"/>
      <c r="G1" s="28" t="s">
        <v>14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>
      <c r="A2" s="28"/>
      <c r="B2" s="30" t="s">
        <v>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>
      <c r="A3" s="28"/>
      <c r="B3" s="29">
        <v>1</v>
      </c>
      <c r="C3" s="30">
        <f>'1'!D4</f>
        <v>0</v>
      </c>
      <c r="D3" s="28"/>
      <c r="E3" s="28" t="s">
        <v>67</v>
      </c>
      <c r="F3" s="28"/>
      <c r="G3" s="31">
        <f>IF(C3=E3,2,0)</f>
        <v>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>
      <c r="A4" s="28"/>
      <c r="B4" s="29">
        <v>2</v>
      </c>
      <c r="C4" s="30">
        <f>'1'!H4</f>
        <v>0</v>
      </c>
      <c r="D4" s="28"/>
      <c r="E4" s="28" t="s">
        <v>68</v>
      </c>
      <c r="F4" s="28"/>
      <c r="G4" s="31">
        <f t="shared" ref="G4:G12" si="0">IF(C4=E4,2,0)</f>
        <v>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>
      <c r="A5" s="28"/>
      <c r="B5" s="29">
        <v>3</v>
      </c>
      <c r="C5" s="30">
        <f>'1'!L4</f>
        <v>0</v>
      </c>
      <c r="D5" s="28"/>
      <c r="E5" s="28" t="s">
        <v>69</v>
      </c>
      <c r="F5" s="28"/>
      <c r="G5" s="31">
        <f t="shared" si="0"/>
        <v>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>
      <c r="A6" s="28"/>
      <c r="B6" s="29">
        <v>4</v>
      </c>
      <c r="C6" s="30">
        <f>'1'!P4</f>
        <v>0</v>
      </c>
      <c r="D6" s="28"/>
      <c r="E6" s="28" t="s">
        <v>75</v>
      </c>
      <c r="F6" s="28"/>
      <c r="G6" s="31">
        <f t="shared" si="0"/>
        <v>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>
      <c r="A7" s="28"/>
      <c r="B7" s="29">
        <v>5</v>
      </c>
      <c r="C7" s="30">
        <f>'1'!T4</f>
        <v>0</v>
      </c>
      <c r="D7" s="28"/>
      <c r="E7" s="28" t="s">
        <v>97</v>
      </c>
      <c r="F7" s="28"/>
      <c r="G7" s="31">
        <f t="shared" si="0"/>
        <v>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>
      <c r="A8" s="28"/>
      <c r="B8" s="29">
        <v>6</v>
      </c>
      <c r="C8" s="30">
        <f>'1'!D6</f>
        <v>0</v>
      </c>
      <c r="D8" s="28"/>
      <c r="E8" s="28" t="s">
        <v>70</v>
      </c>
      <c r="F8" s="28"/>
      <c r="G8" s="31">
        <f t="shared" si="0"/>
        <v>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>
      <c r="A9" s="28"/>
      <c r="B9" s="29">
        <v>7</v>
      </c>
      <c r="C9" s="30">
        <f>'1'!H6</f>
        <v>0</v>
      </c>
      <c r="D9" s="28"/>
      <c r="E9" s="28" t="s">
        <v>71</v>
      </c>
      <c r="F9" s="28"/>
      <c r="G9" s="31">
        <f t="shared" si="0"/>
        <v>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>
      <c r="A10" s="28"/>
      <c r="B10" s="29">
        <v>8</v>
      </c>
      <c r="C10" s="30">
        <f>'1'!L6</f>
        <v>0</v>
      </c>
      <c r="D10" s="28"/>
      <c r="E10" s="28" t="s">
        <v>72</v>
      </c>
      <c r="F10" s="28"/>
      <c r="G10" s="31">
        <f t="shared" si="0"/>
        <v>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>
      <c r="A11" s="28"/>
      <c r="B11" s="29">
        <v>9</v>
      </c>
      <c r="C11" s="30">
        <f>'1'!P6</f>
        <v>0</v>
      </c>
      <c r="D11" s="28"/>
      <c r="E11" s="28" t="s">
        <v>73</v>
      </c>
      <c r="F11" s="28"/>
      <c r="G11" s="31">
        <f t="shared" si="0"/>
        <v>0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>
      <c r="A12" s="28"/>
      <c r="B12" s="29">
        <v>10</v>
      </c>
      <c r="C12" s="30">
        <f>'1'!T6</f>
        <v>0</v>
      </c>
      <c r="D12" s="28"/>
      <c r="E12" s="28" t="s">
        <v>74</v>
      </c>
      <c r="F12" s="28"/>
      <c r="G12" s="31">
        <f t="shared" si="0"/>
        <v>0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>
      <c r="A13" s="28"/>
      <c r="B13" s="30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>
      <c r="A14" s="28"/>
      <c r="B14" s="30" t="s">
        <v>10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>
      <c r="A15" s="28"/>
      <c r="B15" s="30">
        <v>1</v>
      </c>
      <c r="C15" s="28">
        <f>'1'!U9</f>
        <v>0</v>
      </c>
      <c r="D15" s="28"/>
      <c r="E15" s="28" t="s">
        <v>76</v>
      </c>
      <c r="F15" s="28"/>
      <c r="G15" s="31">
        <f>IF(C15=E15,3,0)</f>
        <v>0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>
      <c r="A16" s="28"/>
      <c r="B16" s="30">
        <v>2</v>
      </c>
      <c r="C16" s="28">
        <f>'1'!U12</f>
        <v>0</v>
      </c>
      <c r="D16" s="28"/>
      <c r="E16" s="28" t="s">
        <v>77</v>
      </c>
      <c r="F16" s="28"/>
      <c r="G16" s="31">
        <f t="shared" ref="G16:G19" si="1">IF(C16=E16,3,0)</f>
        <v>0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>
      <c r="A17" s="28"/>
      <c r="B17" s="30">
        <v>3</v>
      </c>
      <c r="C17" s="28">
        <f>'1'!U15</f>
        <v>0</v>
      </c>
      <c r="D17" s="28"/>
      <c r="E17" s="28" t="s">
        <v>78</v>
      </c>
      <c r="F17" s="28"/>
      <c r="G17" s="31">
        <f t="shared" si="1"/>
        <v>0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>
      <c r="A18" s="28"/>
      <c r="B18" s="30">
        <v>4</v>
      </c>
      <c r="C18" s="28">
        <f>'1'!U18</f>
        <v>0</v>
      </c>
      <c r="D18" s="28"/>
      <c r="E18" s="28" t="s">
        <v>79</v>
      </c>
      <c r="F18" s="28"/>
      <c r="G18" s="31">
        <f t="shared" si="1"/>
        <v>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>
      <c r="A19" s="28"/>
      <c r="B19" s="30">
        <v>5</v>
      </c>
      <c r="C19" s="28">
        <f>'1'!U21</f>
        <v>0</v>
      </c>
      <c r="D19" s="28"/>
      <c r="E19" s="28" t="s">
        <v>77</v>
      </c>
      <c r="F19" s="28"/>
      <c r="G19" s="31">
        <f t="shared" si="1"/>
        <v>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>
      <c r="A20" s="28"/>
      <c r="B20" s="30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>
      <c r="A21" s="28"/>
      <c r="B21" s="30" t="s">
        <v>11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>
      <c r="A22" s="28"/>
      <c r="B22" s="30">
        <v>1</v>
      </c>
      <c r="C22" s="28">
        <f>'1'!F27</f>
        <v>0</v>
      </c>
      <c r="D22" s="28"/>
      <c r="E22" s="28" t="s">
        <v>99</v>
      </c>
      <c r="F22" s="28"/>
      <c r="G22" s="31">
        <f>IF(C22=E22,5,0)</f>
        <v>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>
      <c r="A23" s="28"/>
      <c r="B23" s="30">
        <v>2</v>
      </c>
      <c r="C23" s="28">
        <f>'1'!F30</f>
        <v>0</v>
      </c>
      <c r="D23" s="28"/>
      <c r="E23" s="28" t="s">
        <v>100</v>
      </c>
      <c r="F23" s="28"/>
      <c r="G23" s="31">
        <f t="shared" ref="G23:G29" si="2">IF(C23=E23,5,0)</f>
        <v>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>
      <c r="A24" s="28"/>
      <c r="B24" s="30">
        <v>3</v>
      </c>
      <c r="C24" s="28">
        <f>'1'!F33</f>
        <v>0</v>
      </c>
      <c r="D24" s="28"/>
      <c r="E24" s="28" t="s">
        <v>81</v>
      </c>
      <c r="F24" s="28"/>
      <c r="G24" s="31">
        <f t="shared" si="2"/>
        <v>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>
      <c r="A25" s="28"/>
      <c r="B25" s="30">
        <v>4</v>
      </c>
      <c r="C25" s="28">
        <f>'1'!F36</f>
        <v>0</v>
      </c>
      <c r="D25" s="28"/>
      <c r="E25" s="28" t="s">
        <v>101</v>
      </c>
      <c r="F25" s="28"/>
      <c r="G25" s="31">
        <f t="shared" si="2"/>
        <v>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>
      <c r="A26" s="28"/>
      <c r="B26" s="30">
        <v>5</v>
      </c>
      <c r="C26" s="28">
        <f>'1'!F39</f>
        <v>0</v>
      </c>
      <c r="D26" s="28"/>
      <c r="E26" s="28" t="s">
        <v>102</v>
      </c>
      <c r="F26" s="28"/>
      <c r="G26" s="31">
        <f t="shared" si="2"/>
        <v>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>
      <c r="A27" s="28"/>
      <c r="B27" s="30">
        <v>6</v>
      </c>
      <c r="C27" s="28">
        <f>'1'!F42</f>
        <v>0</v>
      </c>
      <c r="D27" s="28"/>
      <c r="E27" s="28" t="s">
        <v>103</v>
      </c>
      <c r="F27" s="28"/>
      <c r="G27" s="31">
        <f t="shared" si="2"/>
        <v>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>
      <c r="A28" s="28"/>
      <c r="B28" s="30">
        <v>7</v>
      </c>
      <c r="C28" s="28">
        <f>'1'!F45</f>
        <v>0</v>
      </c>
      <c r="D28" s="28"/>
      <c r="E28" s="28" t="s">
        <v>104</v>
      </c>
      <c r="F28" s="28"/>
      <c r="G28" s="31">
        <f t="shared" si="2"/>
        <v>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>
      <c r="A29" s="28"/>
      <c r="B29" s="30">
        <v>8</v>
      </c>
      <c r="C29" s="28">
        <f>'1'!F48</f>
        <v>0</v>
      </c>
      <c r="D29" s="28"/>
      <c r="E29" s="28" t="s">
        <v>105</v>
      </c>
      <c r="F29" s="28"/>
      <c r="G29" s="31">
        <f t="shared" si="2"/>
        <v>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>
      <c r="A30" s="28"/>
      <c r="B30" s="30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>
      <c r="A31" s="28"/>
      <c r="B31" s="30" t="s">
        <v>12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>
      <c r="A32" s="28"/>
      <c r="B32" s="32">
        <v>1</v>
      </c>
      <c r="C32" s="28">
        <f>'1'!F51</f>
        <v>0</v>
      </c>
      <c r="D32" s="28"/>
      <c r="E32" s="28" t="s">
        <v>106</v>
      </c>
      <c r="F32" s="28"/>
      <c r="G32" s="31">
        <f t="shared" ref="G32:G36" si="3">IF(C32=E32,5,0)</f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>
      <c r="A33" s="28"/>
      <c r="B33" s="32">
        <v>2</v>
      </c>
      <c r="C33" s="28">
        <f>'1'!F53</f>
        <v>0</v>
      </c>
      <c r="D33" s="28"/>
      <c r="E33" s="28" t="s">
        <v>107</v>
      </c>
      <c r="F33" s="28"/>
      <c r="G33" s="31">
        <f t="shared" si="3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>
      <c r="A34" s="28"/>
      <c r="B34" s="32">
        <v>3</v>
      </c>
      <c r="C34" s="28">
        <f>'1'!F55</f>
        <v>0</v>
      </c>
      <c r="D34" s="28"/>
      <c r="E34" s="28" t="s">
        <v>108</v>
      </c>
      <c r="F34" s="28"/>
      <c r="G34" s="31">
        <f t="shared" si="3"/>
        <v>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>
      <c r="A35" s="28"/>
      <c r="B35" s="32">
        <v>4</v>
      </c>
      <c r="C35" s="28">
        <f>'1'!F57</f>
        <v>0</v>
      </c>
      <c r="D35" s="28"/>
      <c r="E35" s="28" t="s">
        <v>82</v>
      </c>
      <c r="F35" s="28"/>
      <c r="G35" s="31">
        <f t="shared" si="3"/>
        <v>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>
      <c r="A36" s="28"/>
      <c r="B36" s="32">
        <v>5</v>
      </c>
      <c r="C36" s="28">
        <f>'1'!F59</f>
        <v>0</v>
      </c>
      <c r="D36" s="28"/>
      <c r="E36" s="28" t="s">
        <v>83</v>
      </c>
      <c r="F36" s="28"/>
      <c r="G36" s="31">
        <f t="shared" si="3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>
      <c r="A42" s="28"/>
      <c r="B42" s="28"/>
      <c r="C42" s="28"/>
      <c r="D42" s="28"/>
      <c r="E42" s="28" t="s">
        <v>15</v>
      </c>
      <c r="F42" s="28"/>
      <c r="G42" s="28">
        <f>SUM(G3:G36)</f>
        <v>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</sheetData>
  <sheetProtection password="CF40" sheet="1" objects="1" scenarios="1" selectLockedCells="1" selectUnlockedCells="1"/>
  <phoneticPr fontId="4" type="noConversion"/>
  <conditionalFormatting sqref="G3:G12">
    <cfRule type="cellIs" dxfId="9" priority="4" operator="equal">
      <formula>0</formula>
    </cfRule>
  </conditionalFormatting>
  <conditionalFormatting sqref="G15:G19">
    <cfRule type="cellIs" dxfId="8" priority="3" operator="equal">
      <formula>0</formula>
    </cfRule>
  </conditionalFormatting>
  <conditionalFormatting sqref="G22:G29">
    <cfRule type="cellIs" dxfId="7" priority="2" operator="equal">
      <formula>0</formula>
    </cfRule>
  </conditionalFormatting>
  <conditionalFormatting sqref="G32:G36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workbookViewId="0">
      <selection activeCell="C5" sqref="C5"/>
    </sheetView>
  </sheetViews>
  <sheetFormatPr defaultRowHeight="13.5"/>
  <sheetData>
    <row r="2" spans="2:8">
      <c r="B2" t="s">
        <v>93</v>
      </c>
      <c r="C2">
        <f>'1'!R1</f>
        <v>0</v>
      </c>
      <c r="H2" t="s">
        <v>92</v>
      </c>
    </row>
    <row r="3" spans="2:8">
      <c r="B3" t="s">
        <v>94</v>
      </c>
      <c r="C3">
        <f>'1'!S2</f>
        <v>0</v>
      </c>
      <c r="G3" s="5" t="s">
        <v>9</v>
      </c>
      <c r="H3" s="24">
        <v>0.2</v>
      </c>
    </row>
    <row r="4" spans="2:8">
      <c r="B4" t="s">
        <v>95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5" t="s">
        <v>96</v>
      </c>
      <c r="E6" s="18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10</v>
      </c>
      <c r="H15" s="24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11</v>
      </c>
      <c r="H22" s="24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12</v>
      </c>
      <c r="H32" s="24">
        <v>0.25</v>
      </c>
    </row>
    <row r="33" spans="7:8">
      <c r="G33" s="11">
        <v>1</v>
      </c>
      <c r="H33" t="str">
        <f>IF('2'!C32='2'!E32,"○","×")</f>
        <v>×</v>
      </c>
    </row>
    <row r="34" spans="7:8">
      <c r="G34" s="11">
        <v>2</v>
      </c>
      <c r="H34" t="str">
        <f>IF('2'!C33='2'!E33,"○","×")</f>
        <v>×</v>
      </c>
    </row>
    <row r="35" spans="7:8">
      <c r="G35" s="11">
        <v>3</v>
      </c>
      <c r="H35" t="str">
        <f>IF('2'!C34='2'!E34,"○","×")</f>
        <v>×</v>
      </c>
    </row>
    <row r="36" spans="7:8">
      <c r="G36" s="11">
        <v>4</v>
      </c>
      <c r="H36" t="str">
        <f>IF('2'!C35='2'!E35,"○","×")</f>
        <v>×</v>
      </c>
    </row>
    <row r="37" spans="7:8">
      <c r="G37" s="11">
        <v>5</v>
      </c>
      <c r="H37" t="str">
        <f>IF('2'!C36='2'!E36,"○","×")</f>
        <v>×</v>
      </c>
    </row>
  </sheetData>
  <phoneticPr fontId="4" type="noConversion"/>
  <conditionalFormatting sqref="G4">
    <cfRule type="cellIs" dxfId="5" priority="6" operator="equal">
      <formula>"×"</formula>
    </cfRule>
    <cfRule type="cellIs" dxfId="4" priority="7" operator="equal">
      <formula>"×"</formula>
    </cfRule>
  </conditionalFormatting>
  <conditionalFormatting sqref="H4:H14 H16:H21 H23:H31 H33:H37">
    <cfRule type="cellIs" dxfId="3" priority="5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3AC3AA-EEDA-4353-B4D0-3BF61F106684}"/>
</file>

<file path=customXml/itemProps2.xml><?xml version="1.0" encoding="utf-8"?>
<ds:datastoreItem xmlns:ds="http://schemas.openxmlformats.org/officeDocument/2006/customXml" ds:itemID="{AE538038-36C3-429F-ACF3-436C14E5E2C2}"/>
</file>

<file path=customXml/itemProps3.xml><?xml version="1.0" encoding="utf-8"?>
<ds:datastoreItem xmlns:ds="http://schemas.openxmlformats.org/officeDocument/2006/customXml" ds:itemID="{6F2FD426-689B-498E-899B-191C59EE6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2017-09-25T04:40:54Z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