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codeName="ThisWorkbook"/>
  <bookViews>
    <workbookView xWindow="240" yWindow="105" windowWidth="14805" windowHeight="8010"/>
  </bookViews>
  <sheets>
    <sheet name="1" sheetId="1" r:id="rId1"/>
    <sheet name="2" sheetId="4" state="hidden" r:id="rId2"/>
    <sheet name="3" sheetId="3" r:id="rId3"/>
  </sheets>
  <definedNames>
    <definedName name="OLE_LINK2" localSheetId="0">'1'!#REF!</definedName>
  </definedNames>
  <calcPr calcId="125725"/>
</workbook>
</file>

<file path=xl/calcChain.xml><?xml version="1.0" encoding="utf-8"?>
<calcChain xmlns="http://schemas.openxmlformats.org/spreadsheetml/2006/main">
  <c r="H5" i="3"/>
  <c r="H6"/>
  <c r="H7"/>
  <c r="H12"/>
  <c r="H13"/>
  <c r="H14"/>
  <c r="H15"/>
  <c r="H18"/>
  <c r="H19"/>
  <c r="H20"/>
  <c r="H21"/>
  <c r="H22"/>
  <c r="H23"/>
  <c r="H24"/>
  <c r="H25"/>
  <c r="H28"/>
  <c r="H29"/>
  <c r="H31"/>
  <c r="H32"/>
  <c r="H35"/>
  <c r="H36"/>
  <c r="H37"/>
  <c r="H38"/>
  <c r="H39"/>
  <c r="H4"/>
  <c r="C4"/>
  <c r="C3"/>
  <c r="C2"/>
  <c r="G19" i="4" l="1"/>
  <c r="G18"/>
  <c r="C38" l="1"/>
  <c r="G38" s="1"/>
  <c r="C37"/>
  <c r="G37" s="1"/>
  <c r="C36"/>
  <c r="G36" s="1"/>
  <c r="C35"/>
  <c r="G35" s="1"/>
  <c r="C34"/>
  <c r="G34" s="1"/>
  <c r="C31"/>
  <c r="G31" s="1"/>
  <c r="C30"/>
  <c r="G30" s="1"/>
  <c r="C29"/>
  <c r="C28"/>
  <c r="G28" s="1"/>
  <c r="C27"/>
  <c r="G27" s="1"/>
  <c r="C24"/>
  <c r="C23"/>
  <c r="G23" s="1"/>
  <c r="C22"/>
  <c r="G22" s="1"/>
  <c r="C21"/>
  <c r="G21" s="1"/>
  <c r="C20"/>
  <c r="G20" s="1"/>
  <c r="C19"/>
  <c r="C18"/>
  <c r="C17"/>
  <c r="G17" s="1"/>
  <c r="G5"/>
  <c r="C14"/>
  <c r="G14" s="1"/>
  <c r="C13"/>
  <c r="G13" s="1"/>
  <c r="C12"/>
  <c r="G12" s="1"/>
  <c r="C11"/>
  <c r="C10"/>
  <c r="H11" i="3" s="1"/>
  <c r="C7" i="4"/>
  <c r="H8" i="3" s="1"/>
  <c r="C6" i="4"/>
  <c r="G6" s="1"/>
  <c r="C5"/>
  <c r="C4"/>
  <c r="G4" s="1"/>
  <c r="C3"/>
  <c r="G3" s="1"/>
  <c r="G11"/>
  <c r="G24"/>
  <c r="G7" l="1"/>
  <c r="G29"/>
  <c r="H30" i="3"/>
  <c r="G10" i="4"/>
  <c r="G46"/>
  <c r="E6" i="3" s="1"/>
</calcChain>
</file>

<file path=xl/sharedStrings.xml><?xml version="1.0" encoding="utf-8"?>
<sst xmlns="http://schemas.openxmlformats.org/spreadsheetml/2006/main" count="152" uniqueCount="112">
  <si>
    <t>名前</t>
    <rPh sb="0" eb="2">
      <t>ナマエ</t>
    </rPh>
    <phoneticPr fontId="1"/>
  </si>
  <si>
    <t>学籍番号</t>
    <rPh sb="0" eb="2">
      <t>ガクセキ</t>
    </rPh>
    <rPh sb="2" eb="4">
      <t>バンゴウ</t>
    </rPh>
    <phoneticPr fontId="1"/>
  </si>
  <si>
    <t>日付</t>
    <rPh sb="0" eb="2">
      <t>ヒヅケ</t>
    </rPh>
    <phoneticPr fontId="1"/>
  </si>
  <si>
    <t>①</t>
  </si>
  <si>
    <t>②</t>
  </si>
  <si>
    <t>⑤</t>
  </si>
  <si>
    <t>問題2 日本語の意味として正しい中国語を1)～4)の中から1つ選びなさい。</t>
    <rPh sb="0" eb="2">
      <t>モンダイ</t>
    </rPh>
    <phoneticPr fontId="1"/>
  </si>
  <si>
    <t>問題3 次の日本語の意味に従って、言葉を並べ替えなさい。</t>
    <rPh sb="0" eb="2">
      <t>モンダイ</t>
    </rPh>
    <phoneticPr fontId="1"/>
  </si>
  <si>
    <t>⑥</t>
  </si>
  <si>
    <t>⑦</t>
  </si>
  <si>
    <t>⑧</t>
  </si>
  <si>
    <t>問題4 下の中国語の誤りを訂正しなさい。</t>
    <rPh sb="0" eb="2">
      <t>モンダイ</t>
    </rPh>
    <phoneticPr fontId="1"/>
  </si>
  <si>
    <t>問題5 下の短文を読んで、①～⑤までの質問をそれぞれの下に示してある1)～4)の中から１つ選んで、答えなさい。</t>
    <rPh sb="0" eb="2">
      <t>モンダイ</t>
    </rPh>
    <phoneticPr fontId="1"/>
  </si>
  <si>
    <t>問題1穴埋め問題の回答として、正しい中国語を1)～4)の中から1つ選びなさい。</t>
    <rPh sb="0" eb="2">
      <t>モンダイ</t>
    </rPh>
    <phoneticPr fontId="1"/>
  </si>
  <si>
    <t>合計</t>
    <phoneticPr fontId="11" type="noConversion"/>
  </si>
  <si>
    <t>問４　</t>
    <rPh sb="0" eb="1">
      <t>モン</t>
    </rPh>
    <phoneticPr fontId="1"/>
  </si>
  <si>
    <t>問３　</t>
    <rPh sb="0" eb="1">
      <t>モン</t>
    </rPh>
    <phoneticPr fontId="1"/>
  </si>
  <si>
    <t>問２　</t>
    <rPh sb="0" eb="1">
      <t>モン</t>
    </rPh>
    <phoneticPr fontId="1"/>
  </si>
  <si>
    <t>問１　</t>
    <rPh sb="0" eb="1">
      <t>モンツギカンジウエホウオト</t>
    </rPh>
    <phoneticPr fontId="1"/>
  </si>
  <si>
    <t>判定</t>
    <phoneticPr fontId="11" type="noConversion"/>
  </si>
  <si>
    <t>正解</t>
    <phoneticPr fontId="11" type="noConversion"/>
  </si>
  <si>
    <t>回答</t>
    <phoneticPr fontId="11" type="noConversion"/>
  </si>
  <si>
    <t>成績</t>
    <phoneticPr fontId="11" type="noConversion"/>
  </si>
  <si>
    <t>問5　</t>
    <rPh sb="0" eb="1">
      <t>モン</t>
    </rPh>
    <phoneticPr fontId="1"/>
  </si>
  <si>
    <t>読解第11課</t>
    <rPh sb="0" eb="2">
      <t>ドッカイ</t>
    </rPh>
    <rPh sb="2" eb="3">
      <t>ダイ</t>
    </rPh>
    <rPh sb="4" eb="5">
      <t>カ</t>
    </rPh>
    <phoneticPr fontId="1"/>
  </si>
  <si>
    <t>答え</t>
    <phoneticPr fontId="1"/>
  </si>
  <si>
    <t>①</t>
    <phoneticPr fontId="1"/>
  </si>
  <si>
    <t>高桥感冒了，她咳嗽</t>
  </si>
  <si>
    <t>厉害。</t>
  </si>
  <si>
    <t>1) 得  2) 地  3) 的  4) 德</t>
  </si>
  <si>
    <t>②</t>
    <phoneticPr fontId="1"/>
  </si>
  <si>
    <t>医生</t>
  </si>
  <si>
    <t>高桥好好儿休息。</t>
  </si>
  <si>
    <t>1) 命令  2) 说  3) 让  4) 请</t>
  </si>
  <si>
    <t>③</t>
    <phoneticPr fontId="1"/>
  </si>
  <si>
    <t>因为她嗓子很疼,所以课文</t>
    <phoneticPr fontId="1"/>
  </si>
  <si>
    <t>得不太好。</t>
  </si>
  <si>
    <t>1) 看 2) 说  3) 读书  4) 念</t>
  </si>
  <si>
    <t>④</t>
    <phoneticPr fontId="1"/>
  </si>
  <si>
    <t>今天的作业太多了，一直做到夜里一点</t>
    <phoneticPr fontId="1"/>
  </si>
  <si>
    <t>睡觉。</t>
  </si>
  <si>
    <t>1) 就  2) 快  3) 早  4) 才</t>
  </si>
  <si>
    <t>⑤</t>
    <phoneticPr fontId="1"/>
  </si>
  <si>
    <t>今天很累，不到 10 点</t>
  </si>
  <si>
    <t>睡觉了。</t>
  </si>
  <si>
    <t>毎日彼は寝るのが遅い。</t>
  </si>
  <si>
    <t>1) 他睡得都很晚每天。  2) 他每天睡得很晚都。</t>
  </si>
  <si>
    <t>3) 他都每天睡得很晚。  4) 他每天都睡得很晚。</t>
  </si>
  <si>
    <t>昨日彼は２時にやっと寝た。</t>
  </si>
  <si>
    <t>1) 昨天他两点才睡。  2) 昨天他两点睡才。</t>
  </si>
  <si>
    <t>3) 昨天他才两点睡。  4) 昨天才他两点睡。</t>
  </si>
  <si>
    <t>お医者さんはまた彼に注射しようとした。</t>
  </si>
  <si>
    <t>1) 医生还要打针给他。  2) 医生还要给他打针。</t>
  </si>
  <si>
    <t>3) 他还要给医生打针。  4) 医生还要他给打针。</t>
  </si>
  <si>
    <t>お医者さんは彼に体温を計った。</t>
  </si>
  <si>
    <t>1) 医生给他量了体温。  2) 医生量了给他体温。</t>
  </si>
  <si>
    <t>3) 医生给他体温量了。  4) 他给医生量了体温。</t>
  </si>
  <si>
    <t>高橋さんは晩ご飯を多く食べなかった。</t>
  </si>
  <si>
    <t>1) 高桥吃晚饭得不多。  2) 高桥吃得晚饭不多。</t>
  </si>
  <si>
    <t>3) 高桥吃得不多晚饭。  4) 晚饭高桥吃得不多。</t>
  </si>
  <si>
    <t>李さんはテニスをやるのがとても上手である。</t>
  </si>
  <si>
    <t>得 网球 小李 好 打 打 很</t>
  </si>
  <si>
    <t>昨日用事があったので､きみの家に行かなかった。</t>
  </si>
  <si>
    <t>事儿 家 所以 去 昨天 没 有 你</t>
  </si>
  <si>
    <t>高橋さんは風邪を引いた。喉がひどく腫れている。</t>
  </si>
  <si>
    <t>高桥 嗓子 肿 感冒 厉害 了 得</t>
  </si>
  <si>
    <t>高橋さんは少し熱があった。先生は彼を少し早く帰宅させた。</t>
  </si>
  <si>
    <t>老师 高桥 他 发烧 早 回家 一点儿 有点儿 让</t>
  </si>
  <si>
    <t>９時に授業が始まるが、彼は八時半にもう来た。</t>
  </si>
  <si>
    <t>他 上课 九点 八点半 就 了 来</t>
  </si>
  <si>
    <t>今日､彼女は六時半にはもう起きた。</t>
  </si>
  <si>
    <t>今天 了 起床 六点 她 就 半</t>
  </si>
  <si>
    <t>妹に辞書を 1 冊買ってやった。</t>
  </si>
  <si>
    <t>一本 给 我 妹妹 买 词典 了</t>
  </si>
  <si>
    <t>加藤さんは歌を歌うのがあまりうまくない。</t>
    <phoneticPr fontId="1"/>
  </si>
  <si>
    <t>不太 同学 歌儿 唱 唱 好 加藤 得</t>
  </si>
  <si>
    <t>今天的作业不太难，我 20 分钟才做完。</t>
  </si>
  <si>
    <t>高桥的英文说很好。</t>
  </si>
  <si>
    <t>铃木的网球不太打得好。</t>
  </si>
  <si>
    <t>哥哥买吃的给我了。</t>
  </si>
  <si>
    <t>昨天晚上十二点才她睡觉了。</t>
  </si>
  <si>
    <t>　　佐藤今天没来上课，他感冒了。前天晚上他开始咳嗽，嗓子疼，还
有点儿发烧。但昨天上午他来上课了，也没迟到。昨天来学校后，他咳
嗽得厉害，所以中午他就走了。昨天他只上了两节课，下午的两节课他
没上。昨天下午，他去医院看病了，大夫说他感冒了，让他在家好好儿
休息。明天是星期六，我想去佐藤家看看他，告诉他今天四节课都学习
了什么。</t>
    <phoneticPr fontId="1"/>
  </si>
  <si>
    <t>昨天佐藤有几节课？</t>
  </si>
  <si>
    <t>1) 两节  2) 四节</t>
  </si>
  <si>
    <t>3) 六节  4) 八节</t>
  </si>
  <si>
    <t>佐藤一共休息了几节课？</t>
  </si>
  <si>
    <t>今天星期几？</t>
  </si>
  <si>
    <t>1) 星期三 2) 星期四</t>
  </si>
  <si>
    <t>3) 星期五  4) 星期六</t>
  </si>
  <si>
    <t>佐藤什么时候开始感冒的？</t>
  </si>
  <si>
    <t>1) 星期三  2) 星期四</t>
  </si>
  <si>
    <t>佐藤病了几天了？</t>
  </si>
  <si>
    <t>1) 一天了  2) 两天了</t>
  </si>
  <si>
    <t>3) 三天了  4) 四天了</t>
  </si>
  <si>
    <t>昨天有事儿，所以没去你家。</t>
    <phoneticPr fontId="11" type="noConversion"/>
  </si>
  <si>
    <t>高桥感冒了，嗓子肿得厉害。</t>
    <phoneticPr fontId="11" type="noConversion"/>
  </si>
  <si>
    <t>高桥有点儿发烧，老师让他早一点儿回家。</t>
    <phoneticPr fontId="11" type="noConversion"/>
  </si>
  <si>
    <t>九点上课，他八点半就来了。</t>
    <phoneticPr fontId="11" type="noConversion"/>
  </si>
  <si>
    <t>今天她六点半就起床了。</t>
    <phoneticPr fontId="11" type="noConversion"/>
  </si>
  <si>
    <t>她今天六点半就起床了。</t>
    <phoneticPr fontId="11" type="noConversion"/>
  </si>
  <si>
    <t>我给妹妹买了一本词典。</t>
    <phoneticPr fontId="11" type="noConversion"/>
  </si>
  <si>
    <t>加藤同学唱歌儿唱得不太好。</t>
    <phoneticPr fontId="11" type="noConversion"/>
  </si>
  <si>
    <t>小李打网球打得很好。</t>
    <phoneticPr fontId="11" type="noConversion"/>
  </si>
  <si>
    <t>今天的作业不太难，我20分钟就做完了。</t>
    <phoneticPr fontId="11" type="noConversion"/>
  </si>
  <si>
    <t>高桥的英文说得很好。</t>
    <phoneticPr fontId="11" type="noConversion"/>
  </si>
  <si>
    <t>铃木的网球打得不太好。</t>
    <phoneticPr fontId="11" type="noConversion"/>
  </si>
  <si>
    <t>哥哥给我买吃的了。</t>
    <phoneticPr fontId="11" type="noConversion"/>
  </si>
  <si>
    <t>昨天晚上十二点她才睡觉。</t>
    <phoneticPr fontId="11" type="noConversion"/>
  </si>
  <si>
    <t>日付</t>
    <phoneticPr fontId="11" type="noConversion"/>
  </si>
  <si>
    <t>学籍番号</t>
    <phoneticPr fontId="11" type="noConversion"/>
  </si>
  <si>
    <t>名前</t>
    <phoneticPr fontId="11" type="noConversion"/>
  </si>
  <si>
    <t>判定</t>
    <phoneticPr fontId="1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</si>
</sst>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sz val="12"/>
      <color theme="1"/>
      <name val="SimSun"/>
      <family val="3"/>
      <charset val="134"/>
    </font>
    <font>
      <sz val="12"/>
      <color rgb="FFFF0000"/>
      <name val="SimSun"/>
      <family val="3"/>
      <charset val="134"/>
    </font>
    <font>
      <sz val="12"/>
      <name val="SimSun"/>
      <family val="3"/>
      <charset val="134"/>
    </font>
    <font>
      <sz val="12"/>
      <color theme="1"/>
      <name val="ＭＳ 明朝"/>
      <family val="1"/>
      <charset val="128"/>
    </font>
    <font>
      <sz val="12"/>
      <name val="ＭＳ Ｐゴシック"/>
      <family val="2"/>
      <scheme val="minor"/>
    </font>
    <font>
      <sz val="12"/>
      <color theme="1"/>
      <name val="ＭＳ Ｐゴシック"/>
      <family val="2"/>
      <scheme val="minor"/>
    </font>
    <font>
      <u/>
      <sz val="12"/>
      <color theme="10"/>
      <name val="ＭＳ Ｐゴシック"/>
      <family val="2"/>
      <scheme val="minor"/>
    </font>
    <font>
      <sz val="11"/>
      <color theme="1"/>
      <name val="SimSun"/>
      <family val="3"/>
      <charset val="134"/>
    </font>
    <font>
      <sz val="9"/>
      <name val="ＭＳ Ｐゴシック"/>
      <family val="3"/>
      <charset val="134"/>
      <scheme val="minor"/>
    </font>
    <font>
      <b/>
      <sz val="11"/>
      <color theme="1"/>
      <name val="ＭＳ Ｐゴシック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SimSun"/>
      <family val="3"/>
      <charset val="134"/>
    </font>
    <font>
      <b/>
      <sz val="11"/>
      <name val="ＭＳ 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 vertical="center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/>
    <xf numFmtId="0" fontId="6" fillId="0" borderId="0" xfId="0" applyFont="1" applyAlignment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9" fillId="0" borderId="0" xfId="1" applyFont="1" applyBorder="1" applyAlignment="1">
      <alignment horizontal="center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0" xfId="0" applyAlignment="1"/>
    <xf numFmtId="0" fontId="13" fillId="0" borderId="0" xfId="0" applyFont="1" applyAlignment="1"/>
    <xf numFmtId="0" fontId="13" fillId="0" borderId="0" xfId="0" applyFont="1"/>
    <xf numFmtId="0" fontId="14" fillId="2" borderId="0" xfId="0" applyFont="1" applyFill="1"/>
    <xf numFmtId="0" fontId="15" fillId="2" borderId="0" xfId="0" applyFont="1" applyFill="1"/>
    <xf numFmtId="9" fontId="0" fillId="0" borderId="0" xfId="0" applyNumberForma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3" borderId="0" xfId="0" applyFill="1" applyAlignment="1"/>
    <xf numFmtId="0" fontId="0" fillId="3" borderId="0" xfId="0" applyFill="1"/>
    <xf numFmtId="0" fontId="13" fillId="3" borderId="0" xfId="0" applyFont="1" applyFill="1"/>
    <xf numFmtId="0" fontId="12" fillId="3" borderId="0" xfId="0" applyFont="1" applyFill="1" applyAlignment="1"/>
    <xf numFmtId="0" fontId="13" fillId="3" borderId="0" xfId="0" applyFont="1" applyFill="1" applyAlignment="1"/>
  </cellXfs>
  <cellStyles count="2">
    <cellStyle name="ハイパーリンク" xfId="1" builtinId="8"/>
    <cellStyle name="標準" xfId="0" builtinId="0"/>
  </cellStyles>
  <dxfs count="3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アース">
      <a:fillStyleLst>
        <a:solidFill>
          <a:schemeClr val="phClr"/>
        </a:solidFill>
        <a:gradFill rotWithShape="1">
          <a:gsLst>
            <a:gs pos="0">
              <a:schemeClr val="phClr">
                <a:tint val="45000"/>
                <a:satMod val="200000"/>
              </a:schemeClr>
            </a:gs>
            <a:gs pos="30000">
              <a:schemeClr val="phClr">
                <a:tint val="61000"/>
                <a:satMod val="200000"/>
              </a:schemeClr>
            </a:gs>
            <a:gs pos="45000">
              <a:schemeClr val="phClr">
                <a:tint val="66000"/>
                <a:satMod val="200000"/>
              </a:schemeClr>
            </a:gs>
            <a:gs pos="55000">
              <a:schemeClr val="phClr">
                <a:tint val="66000"/>
                <a:satMod val="200000"/>
              </a:schemeClr>
            </a:gs>
            <a:gs pos="73000">
              <a:schemeClr val="phClr">
                <a:tint val="61000"/>
                <a:satMod val="200000"/>
              </a:schemeClr>
            </a:gs>
            <a:gs pos="100000">
              <a:schemeClr val="phClr">
                <a:tint val="45000"/>
                <a:satMod val="200000"/>
              </a:schemeClr>
            </a:gs>
          </a:gsLst>
          <a:lin ang="950000" scaled="1"/>
        </a:gradFill>
        <a:gradFill rotWithShape="1">
          <a:gsLst>
            <a:gs pos="0">
              <a:schemeClr val="phClr">
                <a:shade val="63000"/>
              </a:schemeClr>
            </a:gs>
            <a:gs pos="30000">
              <a:schemeClr val="phClr">
                <a:shade val="90000"/>
                <a:satMod val="110000"/>
              </a:schemeClr>
            </a:gs>
            <a:gs pos="45000">
              <a:schemeClr val="phClr">
                <a:shade val="100000"/>
                <a:satMod val="118000"/>
              </a:schemeClr>
            </a:gs>
            <a:gs pos="55000">
              <a:schemeClr val="phClr">
                <a:shade val="100000"/>
                <a:satMod val="118000"/>
              </a:schemeClr>
            </a:gs>
            <a:gs pos="73000">
              <a:schemeClr val="phClr">
                <a:shade val="90000"/>
                <a:satMod val="110000"/>
              </a:schemeClr>
            </a:gs>
            <a:gs pos="100000">
              <a:schemeClr val="phClr">
                <a:shade val="63000"/>
              </a:schemeClr>
            </a:gs>
          </a:gsLst>
          <a:lin ang="950000" scaled="1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50800" dist="43000" dir="5400000" rotWithShape="0">
              <a:srgbClr val="000000">
                <a:alpha val="40000"/>
              </a:srgbClr>
            </a:outerShdw>
          </a:effectLst>
          <a:scene3d>
            <a:camera prst="orthographicFront" fov="0">
              <a:rot lat="0" lon="0" rev="0"/>
            </a:camera>
            <a:lightRig rig="balanced" dir="t">
              <a:rot lat="0" lon="0" rev="0"/>
            </a:lightRig>
          </a:scene3d>
          <a:sp3d prstMaterial="matte">
            <a:bevelT w="0" h="0"/>
            <a:contourClr>
              <a:schemeClr val="phClr">
                <a:tint val="100000"/>
                <a:shade val="100000"/>
                <a:hueMod val="100000"/>
                <a:satMod val="100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50000"/>
              </a:srgbClr>
            </a:outerShdw>
          </a:effectLst>
          <a:scene3d>
            <a:camera prst="orthographicFront" fov="0">
              <a:rot lat="0" lon="0" rev="0"/>
            </a:camera>
            <a:lightRig rig="soft" dir="t">
              <a:rot lat="0" lon="0" rev="2700000"/>
            </a:lightRig>
          </a:scene3d>
          <a:sp3d prstMaterial="matte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E84"/>
  <sheetViews>
    <sheetView tabSelected="1" topLeftCell="A4" zoomScale="130" zoomScaleNormal="130" workbookViewId="0">
      <selection activeCell="AG13" sqref="AG13"/>
    </sheetView>
  </sheetViews>
  <sheetFormatPr defaultRowHeight="14.25"/>
  <cols>
    <col min="1" max="1" width="1.875" style="9" customWidth="1"/>
    <col min="2" max="31" width="2.625" style="9" customWidth="1"/>
  </cols>
  <sheetData>
    <row r="1" spans="1:31">
      <c r="B1" s="5" t="s">
        <v>24</v>
      </c>
      <c r="C1" s="5"/>
      <c r="D1" s="5"/>
      <c r="E1" s="5"/>
      <c r="F1" s="5"/>
      <c r="G1" s="5"/>
      <c r="H1" s="5"/>
      <c r="I1" s="5"/>
      <c r="J1" s="38" t="s">
        <v>2</v>
      </c>
      <c r="K1" s="38"/>
      <c r="L1" s="40"/>
      <c r="M1" s="40"/>
      <c r="N1" s="41"/>
      <c r="O1" s="41"/>
      <c r="P1" s="41"/>
      <c r="Q1" s="41"/>
      <c r="R1" s="41"/>
      <c r="S1" s="41"/>
      <c r="T1" s="41"/>
      <c r="U1" s="5"/>
    </row>
    <row r="2" spans="1:31" ht="19.5" customHeight="1">
      <c r="B2" s="39" t="s">
        <v>0</v>
      </c>
      <c r="C2" s="39"/>
      <c r="D2" s="39"/>
      <c r="E2" s="42"/>
      <c r="F2" s="42"/>
      <c r="G2" s="42"/>
      <c r="H2" s="42"/>
      <c r="I2" s="42"/>
      <c r="J2" s="42"/>
      <c r="K2" s="5"/>
      <c r="L2" s="25" t="s">
        <v>1</v>
      </c>
      <c r="M2" s="5"/>
      <c r="N2" s="42"/>
      <c r="O2" s="42"/>
      <c r="P2" s="42"/>
      <c r="Q2" s="42"/>
      <c r="R2" s="42"/>
      <c r="S2" s="42"/>
      <c r="T2" s="42"/>
      <c r="U2" s="42"/>
    </row>
    <row r="3" spans="1:31" ht="18" customHeight="1">
      <c r="B3" s="10" t="s">
        <v>13</v>
      </c>
      <c r="C3" s="11"/>
      <c r="D3" s="11"/>
      <c r="E3" s="26"/>
      <c r="F3" s="26"/>
      <c r="G3" s="26"/>
      <c r="H3" s="26"/>
      <c r="I3" s="26"/>
      <c r="J3" s="26"/>
      <c r="L3" s="11"/>
      <c r="N3" s="26"/>
      <c r="O3" s="26"/>
      <c r="P3" s="26"/>
      <c r="Q3" s="26"/>
      <c r="R3" s="26"/>
      <c r="S3" s="26"/>
      <c r="T3" s="26"/>
      <c r="U3" s="26"/>
    </row>
    <row r="4" spans="1:31" ht="13.5" customHeight="1">
      <c r="B4" s="12"/>
      <c r="C4" s="13" t="s">
        <v>25</v>
      </c>
      <c r="E4" s="43"/>
      <c r="F4" s="43"/>
      <c r="H4" s="10" t="s">
        <v>26</v>
      </c>
      <c r="I4" s="4" t="s">
        <v>27</v>
      </c>
      <c r="J4" s="4"/>
      <c r="K4" s="4"/>
      <c r="L4" s="4"/>
      <c r="M4" s="4"/>
      <c r="P4" s="17"/>
      <c r="Q4" s="15"/>
      <c r="R4" s="15"/>
      <c r="S4" s="14"/>
      <c r="U4" s="4" t="s">
        <v>28</v>
      </c>
      <c r="V4" s="4"/>
      <c r="W4" s="4"/>
      <c r="X4" s="4"/>
    </row>
    <row r="5" spans="1:31" ht="13.5" customHeight="1">
      <c r="B5" s="12"/>
      <c r="C5" s="12"/>
      <c r="D5" s="3"/>
      <c r="H5" s="3"/>
      <c r="I5" s="4" t="s">
        <v>29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2"/>
    </row>
    <row r="6" spans="1:31" ht="13.5" customHeight="1">
      <c r="B6" s="12"/>
      <c r="C6" s="13" t="s">
        <v>25</v>
      </c>
      <c r="E6" s="43"/>
      <c r="F6" s="43"/>
      <c r="H6" s="10" t="s">
        <v>30</v>
      </c>
      <c r="I6" s="4" t="s">
        <v>31</v>
      </c>
      <c r="J6" s="4"/>
      <c r="K6" s="37"/>
      <c r="L6" s="37"/>
      <c r="M6" s="37"/>
      <c r="N6" s="4" t="s">
        <v>32</v>
      </c>
      <c r="O6" s="4"/>
      <c r="P6" s="4"/>
      <c r="Q6" s="4"/>
      <c r="R6" s="4"/>
      <c r="S6" s="4"/>
      <c r="T6" s="4"/>
      <c r="U6" s="4"/>
      <c r="V6" s="4"/>
      <c r="W6" s="4"/>
      <c r="X6" s="4"/>
    </row>
    <row r="7" spans="1:31" ht="13.5" customHeight="1">
      <c r="B7" s="12"/>
      <c r="C7" s="12"/>
      <c r="H7" s="3"/>
      <c r="I7" s="4" t="s">
        <v>33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31" ht="13.5" customHeight="1">
      <c r="B8" s="12"/>
      <c r="C8" s="13" t="s">
        <v>25</v>
      </c>
      <c r="E8" s="43"/>
      <c r="F8" s="43"/>
      <c r="H8" s="10" t="s">
        <v>34</v>
      </c>
      <c r="I8" s="4" t="s">
        <v>35</v>
      </c>
      <c r="J8" s="4"/>
      <c r="K8" s="4"/>
      <c r="L8" s="4"/>
      <c r="M8" s="4"/>
      <c r="N8" s="4"/>
      <c r="O8" s="4"/>
      <c r="P8" s="4"/>
      <c r="Q8" s="4"/>
      <c r="R8" s="17"/>
      <c r="S8" s="15"/>
      <c r="T8" s="15"/>
      <c r="U8" s="14"/>
      <c r="V8" s="4" t="s">
        <v>36</v>
      </c>
      <c r="W8" s="4"/>
      <c r="X8" s="4"/>
      <c r="Y8" s="4"/>
    </row>
    <row r="9" spans="1:31" ht="13.5" customHeight="1">
      <c r="B9" s="12"/>
      <c r="C9" s="12"/>
      <c r="D9" s="16"/>
      <c r="H9" s="3"/>
      <c r="I9" s="4" t="s">
        <v>37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31" ht="13.5" customHeight="1">
      <c r="B10" s="12"/>
      <c r="C10" s="13" t="s">
        <v>25</v>
      </c>
      <c r="E10" s="43"/>
      <c r="F10" s="43"/>
      <c r="H10" s="10" t="s">
        <v>38</v>
      </c>
      <c r="I10" s="4" t="s">
        <v>39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17"/>
      <c r="W10" s="15"/>
      <c r="X10" s="15"/>
      <c r="Y10" s="14"/>
      <c r="Z10" s="9" t="s">
        <v>40</v>
      </c>
    </row>
    <row r="11" spans="1:31" ht="13.5" customHeight="1">
      <c r="B11" s="12"/>
      <c r="C11" s="12"/>
      <c r="D11" s="16"/>
      <c r="H11" s="3"/>
      <c r="I11" s="4" t="s">
        <v>41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31" ht="13.5" customHeight="1">
      <c r="B12" s="12"/>
      <c r="C12" s="13" t="s">
        <v>25</v>
      </c>
      <c r="E12" s="43"/>
      <c r="F12" s="43"/>
      <c r="H12" s="10" t="s">
        <v>42</v>
      </c>
      <c r="I12" s="4" t="s">
        <v>43</v>
      </c>
      <c r="J12" s="4"/>
      <c r="K12" s="4"/>
      <c r="L12" s="4"/>
      <c r="M12" s="4"/>
      <c r="N12" s="4"/>
      <c r="O12" s="4"/>
      <c r="P12" s="4"/>
      <c r="Q12" s="17"/>
      <c r="R12" s="15"/>
      <c r="S12" s="15"/>
      <c r="T12" s="14"/>
      <c r="U12" s="4" t="s">
        <v>44</v>
      </c>
      <c r="V12" s="4"/>
      <c r="W12" s="4"/>
      <c r="X12" s="4"/>
      <c r="Y12" s="12"/>
      <c r="AA12" s="34"/>
      <c r="AB12" s="34"/>
    </row>
    <row r="13" spans="1:31" ht="13.5" customHeight="1">
      <c r="B13" s="12"/>
      <c r="C13" s="12"/>
      <c r="D13" s="11"/>
      <c r="H13" s="3"/>
      <c r="I13" s="4" t="s">
        <v>41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26"/>
      <c r="AA13" s="18"/>
    </row>
    <row r="14" spans="1:31" ht="13.5" customHeight="1">
      <c r="B14" s="10" t="s">
        <v>6</v>
      </c>
      <c r="C14" s="27"/>
      <c r="D14" s="27"/>
      <c r="E14" s="11"/>
    </row>
    <row r="15" spans="1:31" ht="13.5" customHeight="1">
      <c r="B15" s="12"/>
      <c r="C15" s="13" t="s">
        <v>25</v>
      </c>
      <c r="E15" s="43"/>
      <c r="F15" s="43"/>
      <c r="H15" s="10" t="s">
        <v>26</v>
      </c>
      <c r="I15" s="5" t="s">
        <v>45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31" s="21" customFormat="1" ht="13.5" customHeight="1">
      <c r="A16" s="1"/>
      <c r="B16" s="4"/>
      <c r="C16" s="4"/>
      <c r="D16" s="22"/>
      <c r="E16" s="1"/>
      <c r="F16" s="1"/>
      <c r="G16" s="1"/>
      <c r="H16" s="1"/>
      <c r="I16" s="1" t="s">
        <v>46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1"/>
      <c r="AC16" s="1"/>
      <c r="AD16" s="1"/>
      <c r="AE16" s="1"/>
    </row>
    <row r="17" spans="1:31" s="21" customFormat="1" ht="13.5" customHeight="1">
      <c r="A17" s="1"/>
      <c r="B17" s="4"/>
      <c r="C17" s="4"/>
      <c r="D17" s="22"/>
      <c r="E17" s="1"/>
      <c r="F17" s="1"/>
      <c r="G17" s="1"/>
      <c r="H17" s="1"/>
      <c r="I17" s="1" t="s">
        <v>47</v>
      </c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1"/>
      <c r="AC17" s="1"/>
      <c r="AD17" s="1"/>
      <c r="AE17" s="1"/>
    </row>
    <row r="18" spans="1:31" ht="13.5" customHeight="1">
      <c r="B18" s="12"/>
      <c r="C18" s="13" t="s">
        <v>25</v>
      </c>
      <c r="E18" s="43"/>
      <c r="F18" s="43"/>
      <c r="H18" s="10" t="s">
        <v>30</v>
      </c>
      <c r="I18" s="5" t="s">
        <v>48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31" s="21" customFormat="1" ht="13.5" customHeight="1">
      <c r="A19" s="1"/>
      <c r="B19" s="4"/>
      <c r="C19" s="4"/>
      <c r="D19" s="22"/>
      <c r="E19" s="1"/>
      <c r="F19" s="1"/>
      <c r="G19" s="1"/>
      <c r="H19" s="1"/>
      <c r="I19" s="1" t="s">
        <v>49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1"/>
      <c r="AC19" s="1"/>
      <c r="AD19" s="1"/>
      <c r="AE19" s="1"/>
    </row>
    <row r="20" spans="1:31" s="21" customFormat="1" ht="13.5" customHeight="1">
      <c r="A20" s="1"/>
      <c r="B20" s="4"/>
      <c r="C20" s="4"/>
      <c r="D20" s="22"/>
      <c r="E20" s="1"/>
      <c r="F20" s="1"/>
      <c r="G20" s="1"/>
      <c r="H20" s="1"/>
      <c r="I20" s="1" t="s">
        <v>50</v>
      </c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1"/>
      <c r="AC20" s="1"/>
      <c r="AD20" s="1"/>
      <c r="AE20" s="1"/>
    </row>
    <row r="21" spans="1:31" ht="13.5" customHeight="1">
      <c r="B21" s="12"/>
      <c r="C21" s="13" t="s">
        <v>25</v>
      </c>
      <c r="E21" s="43"/>
      <c r="F21" s="43"/>
      <c r="H21" s="10" t="s">
        <v>34</v>
      </c>
      <c r="I21" s="5" t="s">
        <v>51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31" s="21" customFormat="1" ht="13.5" customHeight="1">
      <c r="A22" s="1"/>
      <c r="B22" s="4"/>
      <c r="C22" s="4"/>
      <c r="D22" s="22"/>
      <c r="E22" s="1"/>
      <c r="F22" s="1"/>
      <c r="G22" s="1"/>
      <c r="H22" s="1"/>
      <c r="I22" s="1" t="s">
        <v>52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1"/>
      <c r="AC22" s="1"/>
      <c r="AD22" s="1"/>
      <c r="AE22" s="1"/>
    </row>
    <row r="23" spans="1:31" s="21" customFormat="1" ht="13.5" customHeight="1">
      <c r="A23" s="1"/>
      <c r="B23" s="4"/>
      <c r="C23" s="4"/>
      <c r="D23" s="22"/>
      <c r="E23" s="1"/>
      <c r="F23" s="1"/>
      <c r="G23" s="1"/>
      <c r="H23" s="1"/>
      <c r="I23" s="1" t="s">
        <v>53</v>
      </c>
      <c r="J23" s="6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1"/>
      <c r="AC23" s="1"/>
      <c r="AD23" s="1"/>
      <c r="AE23" s="1"/>
    </row>
    <row r="24" spans="1:31" ht="13.5" customHeight="1">
      <c r="B24" s="12"/>
      <c r="C24" s="13" t="s">
        <v>25</v>
      </c>
      <c r="E24" s="43"/>
      <c r="F24" s="43"/>
      <c r="H24" s="10" t="s">
        <v>38</v>
      </c>
      <c r="I24" s="5" t="s">
        <v>54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31" s="21" customFormat="1" ht="13.5" customHeight="1">
      <c r="A25" s="1"/>
      <c r="B25" s="4"/>
      <c r="C25" s="4"/>
      <c r="D25" s="22"/>
      <c r="E25" s="1"/>
      <c r="F25" s="1"/>
      <c r="G25" s="1"/>
      <c r="H25" s="1"/>
      <c r="I25" s="1" t="s">
        <v>55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1"/>
      <c r="AC25" s="1"/>
      <c r="AD25" s="1"/>
      <c r="AE25" s="1"/>
    </row>
    <row r="26" spans="1:31" s="21" customFormat="1" ht="13.5" customHeight="1">
      <c r="A26" s="1"/>
      <c r="B26" s="4"/>
      <c r="C26" s="4"/>
      <c r="D26" s="22"/>
      <c r="E26" s="1"/>
      <c r="F26" s="1"/>
      <c r="G26" s="1"/>
      <c r="H26" s="1"/>
      <c r="I26" s="1" t="s">
        <v>56</v>
      </c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1"/>
      <c r="AC26" s="1"/>
      <c r="AD26" s="1"/>
      <c r="AE26" s="1"/>
    </row>
    <row r="27" spans="1:31" ht="13.5" customHeight="1">
      <c r="B27" s="12"/>
      <c r="C27" s="13" t="s">
        <v>25</v>
      </c>
      <c r="E27" s="43"/>
      <c r="F27" s="43"/>
      <c r="H27" s="10" t="s">
        <v>42</v>
      </c>
      <c r="I27" s="5" t="s">
        <v>57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31" s="21" customFormat="1" ht="13.5" customHeight="1">
      <c r="A28" s="1"/>
      <c r="B28" s="4"/>
      <c r="C28" s="4"/>
      <c r="D28" s="22"/>
      <c r="E28" s="1"/>
      <c r="F28" s="1"/>
      <c r="G28" s="1"/>
      <c r="H28" s="23"/>
      <c r="I28" s="1" t="s">
        <v>58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1"/>
      <c r="AC28" s="1"/>
      <c r="AD28" s="1"/>
      <c r="AE28" s="1"/>
    </row>
    <row r="29" spans="1:31" s="21" customFormat="1" ht="13.5" customHeight="1">
      <c r="A29" s="1"/>
      <c r="B29" s="4"/>
      <c r="C29" s="4"/>
      <c r="D29" s="22"/>
      <c r="E29" s="1"/>
      <c r="F29" s="1"/>
      <c r="G29" s="1"/>
      <c r="H29" s="23"/>
      <c r="I29" s="1" t="s">
        <v>59</v>
      </c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1"/>
      <c r="AC29" s="1"/>
      <c r="AD29" s="1"/>
      <c r="AE29" s="1"/>
    </row>
    <row r="30" spans="1:31">
      <c r="B30" s="5" t="s">
        <v>7</v>
      </c>
    </row>
    <row r="31" spans="1:31">
      <c r="C31" s="10" t="s">
        <v>26</v>
      </c>
      <c r="D31" s="5" t="s">
        <v>60</v>
      </c>
    </row>
    <row r="32" spans="1:31" s="21" customFormat="1">
      <c r="A32" s="1"/>
      <c r="B32" s="1"/>
      <c r="C32" s="1"/>
      <c r="D32" s="1" t="s">
        <v>61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s="21" customFormat="1">
      <c r="A33" s="1"/>
      <c r="B33" s="1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1"/>
      <c r="Y33" s="1"/>
      <c r="Z33" s="1"/>
      <c r="AA33" s="1"/>
      <c r="AB33" s="1"/>
      <c r="AC33" s="1"/>
      <c r="AD33" s="1"/>
      <c r="AE33" s="1"/>
    </row>
    <row r="34" spans="1:31">
      <c r="C34" s="10" t="s">
        <v>30</v>
      </c>
      <c r="D34" s="5" t="s">
        <v>62</v>
      </c>
    </row>
    <row r="35" spans="1:31" s="21" customFormat="1">
      <c r="A35" s="1"/>
      <c r="B35" s="1"/>
      <c r="C35" s="1"/>
      <c r="D35" s="1" t="s">
        <v>63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s="21" customFormat="1">
      <c r="A36" s="1"/>
      <c r="B36" s="1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1"/>
      <c r="Y36" s="1"/>
      <c r="Z36" s="1"/>
      <c r="AA36" s="1"/>
      <c r="AB36" s="1"/>
      <c r="AC36" s="1"/>
      <c r="AD36" s="1"/>
      <c r="AE36" s="1"/>
    </row>
    <row r="37" spans="1:31">
      <c r="C37" s="10" t="s">
        <v>34</v>
      </c>
      <c r="D37" s="5" t="s">
        <v>64</v>
      </c>
    </row>
    <row r="38" spans="1:31" s="21" customFormat="1">
      <c r="A38" s="1"/>
      <c r="B38" s="1"/>
      <c r="C38" s="1"/>
      <c r="D38" s="1" t="s">
        <v>65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s="21" customFormat="1">
      <c r="A39" s="1"/>
      <c r="B39" s="1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1"/>
      <c r="Y39" s="1"/>
      <c r="Z39" s="1"/>
      <c r="AA39" s="1"/>
      <c r="AB39" s="1"/>
      <c r="AC39" s="1"/>
      <c r="AD39" s="1"/>
      <c r="AE39" s="1"/>
    </row>
    <row r="40" spans="1:31">
      <c r="C40" s="10" t="s">
        <v>38</v>
      </c>
      <c r="D40" s="5" t="s">
        <v>66</v>
      </c>
    </row>
    <row r="41" spans="1:31" s="21" customFormat="1">
      <c r="A41" s="1"/>
      <c r="B41" s="1"/>
      <c r="C41" s="1"/>
      <c r="D41" s="1" t="s">
        <v>67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s="21" customFormat="1">
      <c r="A42" s="1"/>
      <c r="B42" s="1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1"/>
      <c r="Y42" s="1"/>
      <c r="Z42" s="1"/>
      <c r="AA42" s="1"/>
      <c r="AB42" s="1"/>
      <c r="AC42" s="1"/>
      <c r="AD42" s="1"/>
      <c r="AE42" s="1"/>
    </row>
    <row r="43" spans="1:31">
      <c r="C43" s="5" t="s">
        <v>5</v>
      </c>
      <c r="D43" s="5" t="s">
        <v>68</v>
      </c>
    </row>
    <row r="44" spans="1:31" s="21" customFormat="1">
      <c r="A44" s="1"/>
      <c r="B44" s="1"/>
      <c r="C44" s="1"/>
      <c r="D44" s="1" t="s">
        <v>69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s="21" customFormat="1">
      <c r="A45" s="1"/>
      <c r="B45" s="1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1"/>
      <c r="Y45" s="1"/>
      <c r="Z45" s="1"/>
      <c r="AA45" s="1"/>
      <c r="AB45" s="1"/>
      <c r="AC45" s="1"/>
      <c r="AD45" s="1"/>
      <c r="AE45" s="1"/>
    </row>
    <row r="46" spans="1:31">
      <c r="C46" s="5" t="s">
        <v>8</v>
      </c>
      <c r="D46" s="5" t="s">
        <v>70</v>
      </c>
    </row>
    <row r="47" spans="1:31" s="21" customFormat="1">
      <c r="A47" s="1"/>
      <c r="B47" s="1"/>
      <c r="C47" s="1"/>
      <c r="D47" s="1" t="s">
        <v>71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s="21" customFormat="1">
      <c r="A48" s="1"/>
      <c r="B48" s="1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1"/>
      <c r="Y48" s="1"/>
      <c r="Z48" s="1"/>
      <c r="AA48" s="1"/>
      <c r="AB48" s="1"/>
      <c r="AC48" s="1"/>
      <c r="AD48" s="1"/>
      <c r="AE48" s="1"/>
    </row>
    <row r="49" spans="1:31">
      <c r="C49" s="5" t="s">
        <v>9</v>
      </c>
      <c r="D49" s="9" t="s">
        <v>72</v>
      </c>
    </row>
    <row r="50" spans="1:31" s="21" customFormat="1">
      <c r="A50" s="1"/>
      <c r="B50" s="1"/>
      <c r="C50" s="1"/>
      <c r="D50" s="1" t="s">
        <v>73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s="21" customFormat="1">
      <c r="A51" s="1"/>
      <c r="B51" s="1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1"/>
      <c r="Y51" s="1"/>
      <c r="Z51" s="1"/>
      <c r="AA51" s="1"/>
      <c r="AB51" s="1"/>
      <c r="AC51" s="1"/>
      <c r="AD51" s="1"/>
      <c r="AE51" s="1"/>
    </row>
    <row r="52" spans="1:31">
      <c r="C52" s="5" t="s">
        <v>10</v>
      </c>
      <c r="D52" s="5" t="s">
        <v>74</v>
      </c>
    </row>
    <row r="53" spans="1:31" s="21" customFormat="1">
      <c r="A53" s="1"/>
      <c r="B53" s="1"/>
      <c r="C53" s="1"/>
      <c r="D53" s="1" t="s">
        <v>75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s="21" customFormat="1">
      <c r="A54" s="1"/>
      <c r="B54" s="1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1"/>
      <c r="Y54" s="1"/>
      <c r="Z54" s="1"/>
      <c r="AA54" s="1"/>
      <c r="AB54" s="1"/>
      <c r="AC54" s="1"/>
      <c r="AD54" s="1"/>
      <c r="AE54" s="1"/>
    </row>
    <row r="55" spans="1:31"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</row>
    <row r="56" spans="1:31">
      <c r="B56" s="5" t="s">
        <v>11</v>
      </c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</row>
    <row r="57" spans="1:31" s="21" customFormat="1">
      <c r="A57" s="1"/>
      <c r="B57" s="1"/>
      <c r="C57" s="1" t="s">
        <v>3</v>
      </c>
      <c r="D57" s="1" t="s">
        <v>76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1"/>
      <c r="Y57" s="1"/>
      <c r="Z57" s="1"/>
      <c r="AA57" s="1"/>
      <c r="AB57" s="1"/>
      <c r="AC57" s="1"/>
      <c r="AD57" s="1"/>
      <c r="AE57" s="1"/>
    </row>
    <row r="58" spans="1:31" s="21" customFormat="1">
      <c r="A58" s="1"/>
      <c r="B58" s="1"/>
      <c r="C58" s="22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1"/>
      <c r="Z58" s="1"/>
      <c r="AA58" s="1"/>
      <c r="AB58" s="1"/>
      <c r="AC58" s="1"/>
      <c r="AD58" s="1"/>
      <c r="AE58" s="1"/>
    </row>
    <row r="59" spans="1:31" s="21" customFormat="1">
      <c r="A59" s="1"/>
      <c r="B59" s="1"/>
      <c r="C59" s="24" t="s">
        <v>30</v>
      </c>
      <c r="D59" s="1" t="s">
        <v>77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s="21" customFormat="1">
      <c r="A60" s="1"/>
      <c r="B60" s="1"/>
      <c r="C60" s="1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1"/>
      <c r="Z60" s="1"/>
      <c r="AA60" s="1"/>
      <c r="AB60" s="1"/>
      <c r="AC60" s="1"/>
      <c r="AD60" s="1"/>
      <c r="AE60" s="1"/>
    </row>
    <row r="61" spans="1:31" s="21" customFormat="1">
      <c r="A61" s="1"/>
      <c r="B61" s="1"/>
      <c r="C61" s="24" t="s">
        <v>34</v>
      </c>
      <c r="D61" s="1" t="s">
        <v>78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s="21" customFormat="1">
      <c r="A62" s="1"/>
      <c r="B62" s="1"/>
      <c r="C62" s="24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1"/>
      <c r="Z62" s="1"/>
      <c r="AA62" s="1"/>
      <c r="AB62" s="1"/>
      <c r="AC62" s="1"/>
      <c r="AD62" s="1"/>
      <c r="AE62" s="1"/>
    </row>
    <row r="63" spans="1:31" s="21" customFormat="1">
      <c r="A63" s="1"/>
      <c r="B63" s="1"/>
      <c r="C63" s="24" t="s">
        <v>38</v>
      </c>
      <c r="D63" s="1" t="s">
        <v>79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s="21" customFormat="1">
      <c r="A64" s="1"/>
      <c r="B64" s="1"/>
      <c r="C64" s="24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1"/>
      <c r="Z64" s="1"/>
      <c r="AA64" s="1"/>
      <c r="AB64" s="1"/>
      <c r="AC64" s="1"/>
      <c r="AD64" s="1"/>
      <c r="AE64" s="1"/>
    </row>
    <row r="65" spans="1:31" s="21" customFormat="1">
      <c r="A65" s="1"/>
      <c r="B65" s="1"/>
      <c r="C65" s="1" t="s">
        <v>5</v>
      </c>
      <c r="D65" s="1" t="s">
        <v>80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s="21" customFormat="1">
      <c r="A66" s="1"/>
      <c r="B66" s="1"/>
      <c r="C66" s="24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1"/>
      <c r="Z66" s="1"/>
      <c r="AA66" s="1"/>
      <c r="AB66" s="1"/>
      <c r="AC66" s="1"/>
      <c r="AD66" s="1"/>
      <c r="AE66" s="1"/>
    </row>
    <row r="67" spans="1:31" ht="8.25" customHeight="1">
      <c r="C67" s="16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31" ht="26.25" customHeight="1">
      <c r="B68" s="36" t="s">
        <v>12</v>
      </c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</row>
    <row r="69" spans="1:31" ht="90.75" customHeight="1">
      <c r="B69" s="35" t="s">
        <v>81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</row>
    <row r="70" spans="1:31">
      <c r="C70" s="13" t="s">
        <v>25</v>
      </c>
      <c r="E70" s="43"/>
      <c r="F70" s="43"/>
      <c r="H70" s="5" t="s">
        <v>3</v>
      </c>
      <c r="I70" s="1" t="s">
        <v>82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Y70" s="19"/>
      <c r="Z70" s="19"/>
      <c r="AA70" s="19"/>
    </row>
    <row r="71" spans="1:31">
      <c r="B71" s="12"/>
      <c r="C71" s="12"/>
      <c r="D71" s="6"/>
      <c r="H71" s="8"/>
      <c r="I71" s="1" t="s">
        <v>83</v>
      </c>
      <c r="J71" s="6"/>
      <c r="K71" s="8"/>
      <c r="L71" s="8"/>
      <c r="M71" s="8"/>
      <c r="N71" s="8"/>
      <c r="O71" s="8"/>
      <c r="P71" s="8"/>
      <c r="Q71" s="8"/>
      <c r="R71" s="8"/>
      <c r="S71" s="8"/>
      <c r="T71" s="6"/>
      <c r="U71" s="8"/>
      <c r="V71" s="8"/>
      <c r="W71" s="8"/>
      <c r="X71" s="8"/>
      <c r="Y71" s="8"/>
    </row>
    <row r="72" spans="1:31">
      <c r="B72" s="12"/>
      <c r="C72" s="12"/>
      <c r="D72" s="6"/>
      <c r="H72" s="8"/>
      <c r="I72" s="1" t="s">
        <v>84</v>
      </c>
      <c r="J72" s="6"/>
      <c r="K72" s="7"/>
      <c r="L72" s="8"/>
      <c r="M72" s="8"/>
      <c r="N72" s="8"/>
      <c r="O72" s="8"/>
      <c r="P72" s="8"/>
      <c r="Q72" s="8"/>
      <c r="R72" s="8"/>
      <c r="S72" s="8"/>
      <c r="T72" s="6"/>
      <c r="U72" s="8"/>
      <c r="V72" s="8"/>
      <c r="W72" s="8"/>
      <c r="X72" s="8"/>
      <c r="Y72" s="8"/>
    </row>
    <row r="73" spans="1:31">
      <c r="B73" s="12"/>
      <c r="C73" s="13" t="s">
        <v>25</v>
      </c>
      <c r="E73" s="43"/>
      <c r="F73" s="43"/>
      <c r="H73" s="5" t="s">
        <v>4</v>
      </c>
      <c r="I73" s="1" t="s">
        <v>85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Y73" s="19"/>
      <c r="Z73" s="19"/>
      <c r="AA73" s="19"/>
      <c r="AB73" s="19"/>
      <c r="AC73" s="19"/>
    </row>
    <row r="74" spans="1:31">
      <c r="B74" s="12"/>
      <c r="C74" s="12"/>
      <c r="D74" s="6"/>
      <c r="H74" s="8"/>
      <c r="I74" s="1" t="s">
        <v>83</v>
      </c>
      <c r="J74" s="6"/>
      <c r="K74" s="8"/>
      <c r="L74" s="8"/>
      <c r="M74" s="8"/>
      <c r="N74" s="8"/>
      <c r="O74" s="8"/>
      <c r="P74" s="8"/>
      <c r="Q74" s="8"/>
      <c r="R74" s="8"/>
      <c r="S74" s="8"/>
      <c r="T74" s="6"/>
      <c r="U74" s="8"/>
      <c r="V74" s="8"/>
    </row>
    <row r="75" spans="1:31">
      <c r="B75" s="12"/>
      <c r="C75" s="12"/>
      <c r="D75" s="6"/>
      <c r="H75" s="8"/>
      <c r="I75" s="1" t="s">
        <v>84</v>
      </c>
      <c r="J75" s="6"/>
      <c r="K75" s="7"/>
      <c r="L75" s="8"/>
      <c r="M75" s="8"/>
      <c r="N75" s="8"/>
      <c r="O75" s="8"/>
      <c r="P75" s="8"/>
      <c r="Q75" s="8"/>
      <c r="R75" s="8"/>
      <c r="S75" s="8"/>
      <c r="T75" s="6"/>
      <c r="U75" s="8"/>
      <c r="V75" s="8"/>
      <c r="Y75" s="19"/>
      <c r="Z75" s="19"/>
      <c r="AA75" s="19"/>
      <c r="AB75" s="19"/>
    </row>
    <row r="76" spans="1:31">
      <c r="B76" s="12"/>
      <c r="C76" s="13" t="s">
        <v>25</v>
      </c>
      <c r="E76" s="43"/>
      <c r="F76" s="43"/>
      <c r="H76" s="10" t="s">
        <v>34</v>
      </c>
      <c r="I76" s="1" t="s">
        <v>86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Y76" s="19"/>
      <c r="Z76" s="19"/>
      <c r="AA76" s="19"/>
      <c r="AB76" s="19"/>
    </row>
    <row r="77" spans="1:31">
      <c r="B77" s="12"/>
      <c r="C77" s="12"/>
      <c r="D77" s="8"/>
      <c r="H77" s="8"/>
      <c r="I77" s="1" t="s">
        <v>87</v>
      </c>
      <c r="J77" s="6"/>
      <c r="K77" s="8"/>
      <c r="L77" s="8"/>
      <c r="M77" s="8"/>
      <c r="N77" s="8"/>
      <c r="O77" s="8"/>
      <c r="P77" s="8"/>
      <c r="Q77" s="8"/>
      <c r="R77" s="8"/>
      <c r="S77" s="8"/>
      <c r="T77" s="6"/>
      <c r="U77" s="8"/>
      <c r="V77" s="8"/>
      <c r="Y77" s="19"/>
      <c r="Z77" s="19"/>
      <c r="AA77" s="19"/>
      <c r="AB77" s="19"/>
    </row>
    <row r="78" spans="1:31">
      <c r="B78" s="12"/>
      <c r="C78" s="12"/>
      <c r="D78" s="8"/>
      <c r="H78" s="8"/>
      <c r="I78" s="1" t="s">
        <v>88</v>
      </c>
      <c r="J78" s="6"/>
      <c r="K78" s="7"/>
      <c r="L78" s="8"/>
      <c r="M78" s="8"/>
      <c r="N78" s="8"/>
      <c r="O78" s="8"/>
      <c r="P78" s="8"/>
      <c r="Q78" s="8"/>
      <c r="R78" s="8"/>
      <c r="S78" s="8"/>
      <c r="T78" s="6"/>
      <c r="U78" s="8"/>
      <c r="V78" s="8"/>
      <c r="Y78" s="19"/>
      <c r="Z78" s="19"/>
      <c r="AA78" s="19"/>
      <c r="AB78" s="19"/>
    </row>
    <row r="79" spans="1:31">
      <c r="B79" s="12"/>
      <c r="C79" s="13" t="s">
        <v>25</v>
      </c>
      <c r="E79" s="43"/>
      <c r="F79" s="43"/>
      <c r="H79" s="10" t="s">
        <v>38</v>
      </c>
      <c r="I79" s="1" t="s">
        <v>89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Y79" s="19"/>
      <c r="Z79" s="19"/>
      <c r="AA79" s="19"/>
      <c r="AB79" s="19"/>
    </row>
    <row r="80" spans="1:31">
      <c r="B80" s="12"/>
      <c r="C80" s="12"/>
      <c r="D80" s="8"/>
      <c r="H80" s="8"/>
      <c r="I80" s="1" t="s">
        <v>90</v>
      </c>
      <c r="J80" s="6"/>
      <c r="K80" s="8"/>
      <c r="L80" s="8"/>
      <c r="M80" s="8"/>
      <c r="N80" s="8"/>
      <c r="O80" s="8"/>
      <c r="P80" s="8"/>
      <c r="Q80" s="8"/>
      <c r="R80" s="8"/>
      <c r="S80" s="8"/>
      <c r="T80" s="6"/>
      <c r="U80" s="8"/>
      <c r="V80" s="8"/>
      <c r="Y80" s="19"/>
      <c r="Z80" s="19"/>
      <c r="AA80" s="19"/>
      <c r="AB80" s="19"/>
    </row>
    <row r="81" spans="2:28" customFormat="1">
      <c r="B81" s="12"/>
      <c r="C81" s="12"/>
      <c r="D81" s="8"/>
      <c r="E81" s="9"/>
      <c r="F81" s="9"/>
      <c r="G81" s="9"/>
      <c r="H81" s="8"/>
      <c r="I81" s="1" t="s">
        <v>88</v>
      </c>
      <c r="J81" s="6"/>
      <c r="K81" s="7"/>
      <c r="L81" s="8"/>
      <c r="M81" s="8"/>
      <c r="N81" s="8"/>
      <c r="O81" s="8"/>
      <c r="P81" s="8"/>
      <c r="Q81" s="8"/>
      <c r="R81" s="8"/>
      <c r="S81" s="8"/>
      <c r="T81" s="6"/>
      <c r="U81" s="8"/>
      <c r="V81" s="8"/>
      <c r="W81" s="9"/>
      <c r="X81" s="9"/>
      <c r="Y81" s="19"/>
      <c r="Z81" s="19"/>
      <c r="AA81" s="19"/>
      <c r="AB81" s="19"/>
    </row>
    <row r="82" spans="2:28" customFormat="1">
      <c r="B82" s="12"/>
      <c r="C82" s="13" t="s">
        <v>25</v>
      </c>
      <c r="D82" s="9"/>
      <c r="E82" s="43"/>
      <c r="F82" s="43"/>
      <c r="G82" s="9"/>
      <c r="H82" s="5" t="s">
        <v>5</v>
      </c>
      <c r="I82" s="1" t="s">
        <v>91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9"/>
      <c r="X82" s="9"/>
      <c r="Y82" s="19"/>
      <c r="Z82" s="19"/>
      <c r="AA82" s="19"/>
      <c r="AB82" s="19"/>
    </row>
    <row r="83" spans="2:28" customFormat="1">
      <c r="B83" s="12"/>
      <c r="C83" s="12"/>
      <c r="D83" s="8"/>
      <c r="E83" s="9"/>
      <c r="F83" s="9"/>
      <c r="G83" s="9"/>
      <c r="H83" s="8"/>
      <c r="I83" s="1" t="s">
        <v>92</v>
      </c>
      <c r="J83" s="6"/>
      <c r="K83" s="8"/>
      <c r="L83" s="8"/>
      <c r="M83" s="8"/>
      <c r="N83" s="8"/>
      <c r="O83" s="8"/>
      <c r="P83" s="8"/>
      <c r="Q83" s="8"/>
      <c r="R83" s="8"/>
      <c r="S83" s="8"/>
      <c r="T83" s="6"/>
      <c r="U83" s="8"/>
      <c r="V83" s="8"/>
      <c r="W83" s="9"/>
      <c r="X83" s="9"/>
      <c r="Y83" s="19"/>
      <c r="Z83" s="19"/>
      <c r="AA83" s="19"/>
      <c r="AB83" s="19"/>
    </row>
    <row r="84" spans="2:28" customFormat="1">
      <c r="B84" s="9"/>
      <c r="C84" s="9"/>
      <c r="D84" s="8"/>
      <c r="E84" s="9"/>
      <c r="F84" s="9"/>
      <c r="G84" s="9"/>
      <c r="H84" s="8"/>
      <c r="I84" s="1" t="s">
        <v>93</v>
      </c>
      <c r="J84" s="6"/>
      <c r="K84" s="7"/>
      <c r="L84" s="8"/>
      <c r="M84" s="8"/>
      <c r="N84" s="8"/>
      <c r="O84" s="8"/>
      <c r="P84" s="8"/>
      <c r="Q84" s="8"/>
      <c r="R84" s="8"/>
      <c r="S84" s="8"/>
      <c r="T84" s="6"/>
      <c r="U84" s="8"/>
      <c r="V84" s="8"/>
      <c r="W84" s="9"/>
      <c r="X84" s="9"/>
      <c r="Y84" s="9"/>
      <c r="Z84" s="9"/>
      <c r="AA84" s="9"/>
      <c r="AB84" s="9"/>
    </row>
  </sheetData>
  <mergeCells count="37">
    <mergeCell ref="K6:M6"/>
    <mergeCell ref="J1:K1"/>
    <mergeCell ref="L1:T1"/>
    <mergeCell ref="C45:W45"/>
    <mergeCell ref="B2:D2"/>
    <mergeCell ref="E2:J2"/>
    <mergeCell ref="N2:U2"/>
    <mergeCell ref="C39:W39"/>
    <mergeCell ref="C42:W42"/>
    <mergeCell ref="C33:W33"/>
    <mergeCell ref="C36:W36"/>
    <mergeCell ref="E4:F4"/>
    <mergeCell ref="E6:F6"/>
    <mergeCell ref="E8:F8"/>
    <mergeCell ref="E10:F10"/>
    <mergeCell ref="AA12:AB12"/>
    <mergeCell ref="B69:AE69"/>
    <mergeCell ref="C48:W48"/>
    <mergeCell ref="C51:W51"/>
    <mergeCell ref="C54:W54"/>
    <mergeCell ref="D58:X58"/>
    <mergeCell ref="D60:X60"/>
    <mergeCell ref="B68:X68"/>
    <mergeCell ref="D62:X62"/>
    <mergeCell ref="D64:X64"/>
    <mergeCell ref="D66:X66"/>
    <mergeCell ref="E12:F12"/>
    <mergeCell ref="E15:F15"/>
    <mergeCell ref="E18:F18"/>
    <mergeCell ref="E21:F21"/>
    <mergeCell ref="E79:F79"/>
    <mergeCell ref="E82:F82"/>
    <mergeCell ref="E24:F24"/>
    <mergeCell ref="E27:F27"/>
    <mergeCell ref="E70:F70"/>
    <mergeCell ref="E73:F73"/>
    <mergeCell ref="E76:F76"/>
  </mergeCells>
  <phoneticPr fontId="1"/>
  <conditionalFormatting sqref="E2:J2">
    <cfRule type="containsBlanks" dxfId="37" priority="31">
      <formula>LEN(TRIM(E2))=0</formula>
    </cfRule>
  </conditionalFormatting>
  <conditionalFormatting sqref="L1:T1">
    <cfRule type="containsBlanks" dxfId="36" priority="30">
      <formula>LEN(TRIM(L1))=0</formula>
    </cfRule>
  </conditionalFormatting>
  <conditionalFormatting sqref="N2:U2">
    <cfRule type="containsBlanks" dxfId="35" priority="29">
      <formula>LEN(TRIM(N2))=0</formula>
    </cfRule>
  </conditionalFormatting>
  <conditionalFormatting sqref="E4:F4">
    <cfRule type="containsBlanks" dxfId="34" priority="28">
      <formula>LEN(TRIM(E4))=0</formula>
    </cfRule>
  </conditionalFormatting>
  <conditionalFormatting sqref="E6:F6">
    <cfRule type="containsBlanks" dxfId="33" priority="27">
      <formula>LEN(TRIM(E6))=0</formula>
    </cfRule>
  </conditionalFormatting>
  <conditionalFormatting sqref="E8:F8">
    <cfRule type="containsBlanks" dxfId="32" priority="26">
      <formula>LEN(TRIM(E8))=0</formula>
    </cfRule>
  </conditionalFormatting>
  <conditionalFormatting sqref="E10:F10">
    <cfRule type="containsBlanks" dxfId="31" priority="25">
      <formula>LEN(TRIM(E10))=0</formula>
    </cfRule>
  </conditionalFormatting>
  <conditionalFormatting sqref="E12:F12">
    <cfRule type="containsBlanks" dxfId="30" priority="24">
      <formula>LEN(TRIM(E12))=0</formula>
    </cfRule>
  </conditionalFormatting>
  <conditionalFormatting sqref="E15:F15">
    <cfRule type="containsBlanks" dxfId="29" priority="23">
      <formula>LEN(TRIM(E15))=0</formula>
    </cfRule>
  </conditionalFormatting>
  <conditionalFormatting sqref="E18:F18">
    <cfRule type="containsBlanks" dxfId="28" priority="22">
      <formula>LEN(TRIM(E18))=0</formula>
    </cfRule>
  </conditionalFormatting>
  <conditionalFormatting sqref="E21:F21">
    <cfRule type="containsBlanks" dxfId="27" priority="21">
      <formula>LEN(TRIM(E21))=0</formula>
    </cfRule>
  </conditionalFormatting>
  <conditionalFormatting sqref="E24:F24">
    <cfRule type="containsBlanks" dxfId="26" priority="20">
      <formula>LEN(TRIM(E24))=0</formula>
    </cfRule>
  </conditionalFormatting>
  <conditionalFormatting sqref="E27:F27">
    <cfRule type="containsBlanks" dxfId="25" priority="19">
      <formula>LEN(TRIM(E27))=0</formula>
    </cfRule>
  </conditionalFormatting>
  <conditionalFormatting sqref="E70:F70">
    <cfRule type="containsBlanks" dxfId="24" priority="18">
      <formula>LEN(TRIM(E70))=0</formula>
    </cfRule>
  </conditionalFormatting>
  <conditionalFormatting sqref="E73:F73">
    <cfRule type="containsBlanks" dxfId="23" priority="17">
      <formula>LEN(TRIM(E73))=0</formula>
    </cfRule>
  </conditionalFormatting>
  <conditionalFormatting sqref="E76:F76">
    <cfRule type="containsBlanks" dxfId="22" priority="16">
      <formula>LEN(TRIM(E76))=0</formula>
    </cfRule>
  </conditionalFormatting>
  <conditionalFormatting sqref="E79:F79">
    <cfRule type="containsBlanks" dxfId="21" priority="15">
      <formula>LEN(TRIM(E79))=0</formula>
    </cfRule>
  </conditionalFormatting>
  <conditionalFormatting sqref="E82:F82">
    <cfRule type="containsBlanks" dxfId="20" priority="14">
      <formula>LEN(TRIM(E82))=0</formula>
    </cfRule>
  </conditionalFormatting>
  <conditionalFormatting sqref="D66:X66">
    <cfRule type="containsBlanks" dxfId="19" priority="13">
      <formula>LEN(TRIM(D66))=0</formula>
    </cfRule>
  </conditionalFormatting>
  <conditionalFormatting sqref="D64:X64">
    <cfRule type="containsBlanks" dxfId="18" priority="12">
      <formula>LEN(TRIM(D64))=0</formula>
    </cfRule>
  </conditionalFormatting>
  <conditionalFormatting sqref="D62:X62">
    <cfRule type="containsBlanks" dxfId="17" priority="11">
      <formula>LEN(TRIM(D62))=0</formula>
    </cfRule>
  </conditionalFormatting>
  <conditionalFormatting sqref="D60:X60">
    <cfRule type="containsBlanks" dxfId="16" priority="10">
      <formula>LEN(TRIM(D60))=0</formula>
    </cfRule>
  </conditionalFormatting>
  <conditionalFormatting sqref="D58:X58">
    <cfRule type="containsBlanks" dxfId="15" priority="9">
      <formula>LEN(TRIM(D58))=0</formula>
    </cfRule>
  </conditionalFormatting>
  <conditionalFormatting sqref="C54:W54">
    <cfRule type="containsBlanks" dxfId="14" priority="8">
      <formula>LEN(TRIM(C54))=0</formula>
    </cfRule>
  </conditionalFormatting>
  <conditionalFormatting sqref="C51:W51">
    <cfRule type="containsBlanks" dxfId="13" priority="7">
      <formula>LEN(TRIM(C51))=0</formula>
    </cfRule>
  </conditionalFormatting>
  <conditionalFormatting sqref="C48:W48">
    <cfRule type="containsBlanks" dxfId="12" priority="6">
      <formula>LEN(TRIM(C48))=0</formula>
    </cfRule>
  </conditionalFormatting>
  <conditionalFormatting sqref="C45:W45">
    <cfRule type="containsBlanks" dxfId="11" priority="5">
      <formula>LEN(TRIM(C45))=0</formula>
    </cfRule>
  </conditionalFormatting>
  <conditionalFormatting sqref="C42:W42">
    <cfRule type="containsBlanks" dxfId="10" priority="4">
      <formula>LEN(TRIM(C42))=0</formula>
    </cfRule>
  </conditionalFormatting>
  <conditionalFormatting sqref="C39:W39">
    <cfRule type="containsBlanks" dxfId="9" priority="3">
      <formula>LEN(TRIM(C39))=0</formula>
    </cfRule>
  </conditionalFormatting>
  <conditionalFormatting sqref="C36:W36">
    <cfRule type="containsBlanks" dxfId="8" priority="2">
      <formula>LEN(TRIM(C36))=0</formula>
    </cfRule>
  </conditionalFormatting>
  <conditionalFormatting sqref="C33:W33">
    <cfRule type="containsBlanks" dxfId="7" priority="1">
      <formula>LEN(TRIM(C33))=0</formula>
    </cfRule>
  </conditionalFormatting>
  <dataValidations count="1">
    <dataValidation type="list" allowBlank="1" showInputMessage="1" showErrorMessage="1" sqref="E4:F4 E6:F6 E8:F8 E10:F10 E12:F12 E15:F15 E18:F18 E21:F21 E24:F24 E27:F27 E70:F70 E73:F73 E76:F76 E79:F79 E82:F82">
      <formula1>"1,2,3,4"</formula1>
    </dataValidation>
  </dataValidations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46"/>
  <sheetViews>
    <sheetView topLeftCell="A16" zoomScale="115" zoomScaleNormal="115" workbookViewId="0">
      <selection activeCell="C32" sqref="A1:XFD1048576"/>
    </sheetView>
  </sheetViews>
  <sheetFormatPr defaultRowHeight="13.5"/>
  <cols>
    <col min="1" max="1" width="2.625" style="45" customWidth="1"/>
    <col min="2" max="2" width="4.125" style="45" customWidth="1"/>
    <col min="3" max="3" width="71.625" style="45" customWidth="1"/>
    <col min="4" max="4" width="4.75" style="45" customWidth="1"/>
    <col min="5" max="5" width="41.75" style="45" customWidth="1"/>
    <col min="6" max="6" width="3.625" style="45" customWidth="1"/>
    <col min="7" max="16384" width="9" style="45"/>
  </cols>
  <sheetData>
    <row r="1" spans="1:32">
      <c r="A1" s="44"/>
      <c r="B1" s="44"/>
      <c r="C1" s="44" t="s">
        <v>21</v>
      </c>
      <c r="E1" s="44" t="s">
        <v>20</v>
      </c>
      <c r="F1" s="44"/>
      <c r="G1" s="44" t="s">
        <v>19</v>
      </c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</row>
    <row r="2" spans="1:32">
      <c r="A2" s="44"/>
      <c r="B2" s="46" t="s">
        <v>18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spans="1:32">
      <c r="A3" s="44"/>
      <c r="B3" s="45">
        <v>1</v>
      </c>
      <c r="C3" s="46">
        <f>'1'!E4</f>
        <v>0</v>
      </c>
      <c r="D3" s="44"/>
      <c r="E3" s="44">
        <v>1</v>
      </c>
      <c r="F3" s="44"/>
      <c r="G3" s="47">
        <f>IF(C3=E3,3,0)</f>
        <v>0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</row>
    <row r="4" spans="1:32">
      <c r="A4" s="44"/>
      <c r="B4" s="45">
        <v>2</v>
      </c>
      <c r="C4" s="46">
        <f>'1'!E6</f>
        <v>0</v>
      </c>
      <c r="D4" s="44"/>
      <c r="E4" s="44">
        <v>3</v>
      </c>
      <c r="F4" s="44"/>
      <c r="G4" s="47">
        <f t="shared" ref="G4:G7" si="0">IF(C4=E4,3,0)</f>
        <v>0</v>
      </c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</row>
    <row r="5" spans="1:32">
      <c r="A5" s="44"/>
      <c r="B5" s="45">
        <v>3</v>
      </c>
      <c r="C5" s="46">
        <f>'1'!E8</f>
        <v>0</v>
      </c>
      <c r="D5" s="44"/>
      <c r="E5" s="44">
        <v>4</v>
      </c>
      <c r="F5" s="44"/>
      <c r="G5" s="47">
        <f t="shared" si="0"/>
        <v>0</v>
      </c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</row>
    <row r="6" spans="1:32">
      <c r="A6" s="44"/>
      <c r="B6" s="45">
        <v>4</v>
      </c>
      <c r="C6" s="46">
        <f>'1'!E10</f>
        <v>0</v>
      </c>
      <c r="D6" s="44"/>
      <c r="E6" s="44">
        <v>4</v>
      </c>
      <c r="F6" s="44"/>
      <c r="G6" s="47">
        <f t="shared" si="0"/>
        <v>0</v>
      </c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</row>
    <row r="7" spans="1:32">
      <c r="A7" s="44"/>
      <c r="B7" s="45">
        <v>5</v>
      </c>
      <c r="C7" s="46">
        <f>'1'!E12</f>
        <v>0</v>
      </c>
      <c r="D7" s="44"/>
      <c r="E7" s="44">
        <v>1</v>
      </c>
      <c r="F7" s="44"/>
      <c r="G7" s="47">
        <f t="shared" si="0"/>
        <v>0</v>
      </c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</row>
    <row r="8" spans="1:32">
      <c r="A8" s="44"/>
      <c r="B8" s="46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</row>
    <row r="9" spans="1:32">
      <c r="A9" s="44"/>
      <c r="B9" s="46" t="s">
        <v>17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</row>
    <row r="10" spans="1:32">
      <c r="A10" s="44"/>
      <c r="B10" s="46">
        <v>1</v>
      </c>
      <c r="C10" s="44">
        <f>'1'!E15</f>
        <v>0</v>
      </c>
      <c r="D10" s="44"/>
      <c r="E10" s="44">
        <v>4</v>
      </c>
      <c r="F10" s="44"/>
      <c r="G10" s="47">
        <f>IF(C10=E10,3,0)</f>
        <v>0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>
      <c r="A11" s="44"/>
      <c r="B11" s="46">
        <v>2</v>
      </c>
      <c r="C11" s="44">
        <f>'1'!E18</f>
        <v>0</v>
      </c>
      <c r="D11" s="44"/>
      <c r="E11" s="44">
        <v>1</v>
      </c>
      <c r="F11" s="44"/>
      <c r="G11" s="47">
        <f>IF(C11=E11,3,0)</f>
        <v>0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</row>
    <row r="12" spans="1:32">
      <c r="A12" s="44"/>
      <c r="B12" s="46">
        <v>3</v>
      </c>
      <c r="C12" s="44">
        <f>'1'!E21</f>
        <v>0</v>
      </c>
      <c r="D12" s="44"/>
      <c r="E12" s="44">
        <v>2</v>
      </c>
      <c r="F12" s="44"/>
      <c r="G12" s="47">
        <f>IF(C12=E12,3,0)</f>
        <v>0</v>
      </c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</row>
    <row r="13" spans="1:32">
      <c r="A13" s="44"/>
      <c r="B13" s="46">
        <v>4</v>
      </c>
      <c r="C13" s="44">
        <f>'1'!E24</f>
        <v>0</v>
      </c>
      <c r="D13" s="44"/>
      <c r="E13" s="44">
        <v>1</v>
      </c>
      <c r="F13" s="44"/>
      <c r="G13" s="47">
        <f>IF(C13=E13,3,0)</f>
        <v>0</v>
      </c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</row>
    <row r="14" spans="1:32">
      <c r="A14" s="44"/>
      <c r="B14" s="46">
        <v>5</v>
      </c>
      <c r="C14" s="44">
        <f>'1'!E27</f>
        <v>0</v>
      </c>
      <c r="D14" s="44"/>
      <c r="E14" s="44">
        <v>4</v>
      </c>
      <c r="F14" s="44"/>
      <c r="G14" s="47">
        <f>IF(C14=E14,3,0)</f>
        <v>0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</row>
    <row r="15" spans="1:32">
      <c r="A15" s="44"/>
      <c r="B15" s="46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</row>
    <row r="16" spans="1:32">
      <c r="A16" s="44"/>
      <c r="B16" s="46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</row>
    <row r="17" spans="1:32">
      <c r="A17" s="44"/>
      <c r="B17" s="46">
        <v>1</v>
      </c>
      <c r="C17" s="44">
        <f>'1'!C33</f>
        <v>0</v>
      </c>
      <c r="D17" s="44"/>
      <c r="E17" s="45" t="s">
        <v>102</v>
      </c>
      <c r="F17" s="44"/>
      <c r="G17" s="47">
        <f>IF(C17=E17,5,0)</f>
        <v>0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</row>
    <row r="18" spans="1:32">
      <c r="A18" s="44"/>
      <c r="B18" s="46">
        <v>2</v>
      </c>
      <c r="C18" s="44">
        <f>'1'!C36</f>
        <v>0</v>
      </c>
      <c r="D18" s="44"/>
      <c r="E18" s="44" t="s">
        <v>94</v>
      </c>
      <c r="F18" s="44"/>
      <c r="G18" s="47">
        <f>IF(C18=E18,5,0)</f>
        <v>0</v>
      </c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</row>
    <row r="19" spans="1:32">
      <c r="A19" s="44"/>
      <c r="B19" s="46">
        <v>3</v>
      </c>
      <c r="C19" s="44">
        <f>'1'!C39</f>
        <v>0</v>
      </c>
      <c r="D19" s="44"/>
      <c r="E19" s="44" t="s">
        <v>95</v>
      </c>
      <c r="F19" s="44"/>
      <c r="G19" s="47">
        <f>IF(C19=E19,5,0)</f>
        <v>0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</row>
    <row r="20" spans="1:32">
      <c r="A20" s="44"/>
      <c r="B20" s="46">
        <v>4</v>
      </c>
      <c r="C20" s="44">
        <f>'1'!C42</f>
        <v>0</v>
      </c>
      <c r="D20" s="44"/>
      <c r="E20" s="44" t="s">
        <v>96</v>
      </c>
      <c r="F20" s="44"/>
      <c r="G20" s="47">
        <f t="shared" ref="G20:G24" si="1">IF(C20=E20,5,0)</f>
        <v>0</v>
      </c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</row>
    <row r="21" spans="1:32">
      <c r="A21" s="44"/>
      <c r="B21" s="46">
        <v>5</v>
      </c>
      <c r="C21" s="44">
        <f>'1'!C45</f>
        <v>0</v>
      </c>
      <c r="D21" s="44"/>
      <c r="E21" s="44" t="s">
        <v>97</v>
      </c>
      <c r="F21" s="44"/>
      <c r="G21" s="47">
        <f t="shared" si="1"/>
        <v>0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</row>
    <row r="22" spans="1:32">
      <c r="A22" s="44"/>
      <c r="B22" s="46">
        <v>6</v>
      </c>
      <c r="C22" s="44">
        <f>'1'!C48</f>
        <v>0</v>
      </c>
      <c r="D22" s="44"/>
      <c r="E22" s="44" t="s">
        <v>98</v>
      </c>
      <c r="F22" s="44"/>
      <c r="G22" s="47">
        <f>IF(OR(C22=E22,C22=I22)=TRUE,5,0)</f>
        <v>0</v>
      </c>
      <c r="H22" s="44"/>
      <c r="I22" s="44" t="s">
        <v>99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</row>
    <row r="23" spans="1:32">
      <c r="A23" s="44"/>
      <c r="B23" s="46">
        <v>7</v>
      </c>
      <c r="C23" s="44">
        <f>'1'!C51</f>
        <v>0</v>
      </c>
      <c r="D23" s="44"/>
      <c r="E23" s="44" t="s">
        <v>100</v>
      </c>
      <c r="F23" s="44"/>
      <c r="G23" s="47">
        <f t="shared" si="1"/>
        <v>0</v>
      </c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</row>
    <row r="24" spans="1:32">
      <c r="A24" s="44"/>
      <c r="B24" s="46">
        <v>8</v>
      </c>
      <c r="C24" s="44">
        <f>'1'!C54</f>
        <v>0</v>
      </c>
      <c r="D24" s="44"/>
      <c r="E24" s="44" t="s">
        <v>101</v>
      </c>
      <c r="F24" s="44"/>
      <c r="G24" s="47">
        <f t="shared" si="1"/>
        <v>0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</row>
    <row r="25" spans="1:32">
      <c r="A25" s="44"/>
      <c r="B25" s="46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</row>
    <row r="26" spans="1:32">
      <c r="A26" s="44"/>
      <c r="B26" s="46" t="s">
        <v>15</v>
      </c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</row>
    <row r="27" spans="1:32">
      <c r="A27" s="44"/>
      <c r="B27" s="48">
        <v>1</v>
      </c>
      <c r="C27" s="44">
        <f>'1'!D58</f>
        <v>0</v>
      </c>
      <c r="D27" s="44"/>
      <c r="E27" s="44" t="s">
        <v>103</v>
      </c>
      <c r="F27" s="44"/>
      <c r="G27" s="47">
        <f>IF(C27=E27,3,0)</f>
        <v>0</v>
      </c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>
      <c r="A28" s="44"/>
      <c r="B28" s="48">
        <v>2</v>
      </c>
      <c r="C28" s="44">
        <f>'1'!D60</f>
        <v>0</v>
      </c>
      <c r="D28" s="44"/>
      <c r="E28" s="44" t="s">
        <v>104</v>
      </c>
      <c r="F28" s="44"/>
      <c r="G28" s="47">
        <f t="shared" ref="G28:G31" si="2">IF(C28=E28,3,0)</f>
        <v>0</v>
      </c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>
      <c r="A29" s="44"/>
      <c r="B29" s="48">
        <v>3</v>
      </c>
      <c r="C29" s="44">
        <f>'1'!D62</f>
        <v>0</v>
      </c>
      <c r="D29" s="44"/>
      <c r="E29" s="44" t="s">
        <v>105</v>
      </c>
      <c r="F29" s="44"/>
      <c r="G29" s="47">
        <f t="shared" si="2"/>
        <v>0</v>
      </c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>
      <c r="A30" s="44"/>
      <c r="B30" s="48">
        <v>4</v>
      </c>
      <c r="C30" s="44">
        <f>'1'!D64</f>
        <v>0</v>
      </c>
      <c r="D30" s="44"/>
      <c r="E30" s="44" t="s">
        <v>106</v>
      </c>
      <c r="F30" s="44"/>
      <c r="G30" s="47">
        <f t="shared" si="2"/>
        <v>0</v>
      </c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>
      <c r="A31" s="44"/>
      <c r="B31" s="48">
        <v>5</v>
      </c>
      <c r="C31" s="44">
        <f>'1'!D66</f>
        <v>0</v>
      </c>
      <c r="D31" s="44"/>
      <c r="E31" s="44" t="s">
        <v>107</v>
      </c>
      <c r="F31" s="44"/>
      <c r="G31" s="47">
        <f t="shared" si="2"/>
        <v>0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>
      <c r="A33" s="44"/>
      <c r="B33" s="46" t="s">
        <v>23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</row>
    <row r="34" spans="1:32">
      <c r="A34" s="44"/>
      <c r="B34" s="48">
        <v>1</v>
      </c>
      <c r="C34" s="44">
        <f>'1'!E70</f>
        <v>0</v>
      </c>
      <c r="D34" s="44"/>
      <c r="E34" s="44">
        <v>2</v>
      </c>
      <c r="F34" s="44"/>
      <c r="G34" s="47">
        <f>IF(C34=E34,3,0)</f>
        <v>0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>
      <c r="A35" s="44"/>
      <c r="B35" s="48">
        <v>2</v>
      </c>
      <c r="C35" s="44">
        <f>'1'!E73</f>
        <v>0</v>
      </c>
      <c r="D35" s="44"/>
      <c r="E35" s="44">
        <v>3</v>
      </c>
      <c r="F35" s="44"/>
      <c r="G35" s="47">
        <f t="shared" ref="G35:G38" si="3">IF(C35=E35,3,0)</f>
        <v>0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>
      <c r="A36" s="44"/>
      <c r="B36" s="48">
        <v>3</v>
      </c>
      <c r="C36" s="44">
        <f>'1'!E76</f>
        <v>0</v>
      </c>
      <c r="D36" s="44"/>
      <c r="E36" s="44">
        <v>3</v>
      </c>
      <c r="F36" s="44"/>
      <c r="G36" s="47">
        <f t="shared" si="3"/>
        <v>0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>
      <c r="A37" s="44"/>
      <c r="B37" s="48">
        <v>4</v>
      </c>
      <c r="C37" s="44">
        <f>'1'!E79</f>
        <v>0</v>
      </c>
      <c r="D37" s="44"/>
      <c r="E37" s="44">
        <v>1</v>
      </c>
      <c r="G37" s="47">
        <f t="shared" si="3"/>
        <v>0</v>
      </c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>
      <c r="A38" s="44"/>
      <c r="B38" s="48">
        <v>5</v>
      </c>
      <c r="C38" s="44">
        <f>'1'!E82</f>
        <v>0</v>
      </c>
      <c r="D38" s="44"/>
      <c r="E38" s="44">
        <v>2</v>
      </c>
      <c r="F38" s="44"/>
      <c r="G38" s="47">
        <f t="shared" si="3"/>
        <v>0</v>
      </c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6" spans="1:32">
      <c r="E46" s="44" t="s">
        <v>14</v>
      </c>
      <c r="F46" s="44"/>
      <c r="G46" s="44">
        <f>SUM(G2:G45)</f>
        <v>0</v>
      </c>
    </row>
  </sheetData>
  <sheetProtection password="CF40" sheet="1" objects="1" scenarios="1" selectLockedCells="1" selectUnlockedCells="1"/>
  <phoneticPr fontId="11" type="noConversion"/>
  <conditionalFormatting sqref="G3:G7">
    <cfRule type="cellIs" dxfId="6" priority="6" operator="equal">
      <formula>0</formula>
    </cfRule>
  </conditionalFormatting>
  <conditionalFormatting sqref="G10:G14">
    <cfRule type="cellIs" dxfId="5" priority="5" operator="equal">
      <formula>0</formula>
    </cfRule>
  </conditionalFormatting>
  <conditionalFormatting sqref="G17:G21 G23:G24">
    <cfRule type="cellIs" dxfId="4" priority="4" operator="equal">
      <formula>0</formula>
    </cfRule>
  </conditionalFormatting>
  <conditionalFormatting sqref="G27:G31">
    <cfRule type="cellIs" dxfId="3" priority="3" operator="equal">
      <formula>0</formula>
    </cfRule>
  </conditionalFormatting>
  <conditionalFormatting sqref="G34:G38">
    <cfRule type="cellIs" dxfId="2" priority="2" operator="equal">
      <formula>0</formula>
    </cfRule>
  </conditionalFormatting>
  <conditionalFormatting sqref="G22">
    <cfRule type="cellIs" dxfId="1" priority="1" operator="equal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H39"/>
  <sheetViews>
    <sheetView workbookViewId="0">
      <selection activeCell="H18" sqref="H18"/>
    </sheetView>
  </sheetViews>
  <sheetFormatPr defaultRowHeight="13.5"/>
  <cols>
    <col min="7" max="7" width="4.125" customWidth="1"/>
  </cols>
  <sheetData>
    <row r="1" spans="2:8">
      <c r="G1" s="28"/>
    </row>
    <row r="2" spans="2:8">
      <c r="B2" t="s">
        <v>108</v>
      </c>
      <c r="C2">
        <f>'1'!L1</f>
        <v>0</v>
      </c>
      <c r="H2" t="s">
        <v>111</v>
      </c>
    </row>
    <row r="3" spans="2:8">
      <c r="B3" t="s">
        <v>109</v>
      </c>
      <c r="C3">
        <f>'1'!N2</f>
        <v>0</v>
      </c>
      <c r="G3" s="30" t="s">
        <v>18</v>
      </c>
      <c r="H3" s="33">
        <v>0.15</v>
      </c>
    </row>
    <row r="4" spans="2:8">
      <c r="B4" t="s">
        <v>110</v>
      </c>
      <c r="C4">
        <f>'1'!E2</f>
        <v>0</v>
      </c>
      <c r="G4">
        <v>1</v>
      </c>
      <c r="H4" t="str">
        <f>IF('2'!C3='2'!E3,"○","×")</f>
        <v>×</v>
      </c>
    </row>
    <row r="5" spans="2:8">
      <c r="G5">
        <v>2</v>
      </c>
      <c r="H5" t="str">
        <f>IF('2'!C4='2'!E4,"○","×")</f>
        <v>×</v>
      </c>
    </row>
    <row r="6" spans="2:8">
      <c r="C6" s="32" t="s">
        <v>22</v>
      </c>
      <c r="E6" s="31">
        <f>'2'!G46</f>
        <v>0</v>
      </c>
      <c r="G6">
        <v>3</v>
      </c>
      <c r="H6" t="str">
        <f>IF('2'!C5='2'!E5,"○","×")</f>
        <v>×</v>
      </c>
    </row>
    <row r="7" spans="2:8">
      <c r="G7">
        <v>4</v>
      </c>
      <c r="H7" t="str">
        <f>IF('2'!C6='2'!E6,"○","×")</f>
        <v>×</v>
      </c>
    </row>
    <row r="8" spans="2:8">
      <c r="G8">
        <v>5</v>
      </c>
      <c r="H8" t="str">
        <f>IF('2'!C7='2'!E7,"○","×")</f>
        <v>×</v>
      </c>
    </row>
    <row r="9" spans="2:8">
      <c r="G9" s="30"/>
    </row>
    <row r="10" spans="2:8">
      <c r="G10" s="30" t="s">
        <v>17</v>
      </c>
      <c r="H10" s="33">
        <v>0.15</v>
      </c>
    </row>
    <row r="11" spans="2:8">
      <c r="G11" s="30">
        <v>1</v>
      </c>
      <c r="H11" t="str">
        <f>IF('2'!C10='2'!E10,"○","×")</f>
        <v>×</v>
      </c>
    </row>
    <row r="12" spans="2:8">
      <c r="G12" s="30">
        <v>2</v>
      </c>
      <c r="H12" t="str">
        <f>IF('2'!C11='2'!E11,"○","×")</f>
        <v>×</v>
      </c>
    </row>
    <row r="13" spans="2:8">
      <c r="G13" s="30">
        <v>3</v>
      </c>
      <c r="H13" t="str">
        <f>IF('2'!C12='2'!E12,"○","×")</f>
        <v>×</v>
      </c>
    </row>
    <row r="14" spans="2:8">
      <c r="G14" s="30">
        <v>4</v>
      </c>
      <c r="H14" t="str">
        <f>IF('2'!C13='2'!E13,"○","×")</f>
        <v>×</v>
      </c>
    </row>
    <row r="15" spans="2:8">
      <c r="G15" s="30">
        <v>5</v>
      </c>
      <c r="H15" t="str">
        <f>IF('2'!C14='2'!E14,"○","×")</f>
        <v>×</v>
      </c>
    </row>
    <row r="16" spans="2:8">
      <c r="G16" s="30"/>
    </row>
    <row r="17" spans="7:8">
      <c r="G17" s="30" t="s">
        <v>16</v>
      </c>
      <c r="H17" s="33">
        <v>0.4</v>
      </c>
    </row>
    <row r="18" spans="7:8">
      <c r="G18" s="30">
        <v>1</v>
      </c>
      <c r="H18" t="str">
        <f>IF('2'!C17='2'!E17,"○","×")</f>
        <v>×</v>
      </c>
    </row>
    <row r="19" spans="7:8">
      <c r="G19" s="30">
        <v>2</v>
      </c>
      <c r="H19" t="str">
        <f>IF('2'!C18='2'!E18,"○","×")</f>
        <v>×</v>
      </c>
    </row>
    <row r="20" spans="7:8">
      <c r="G20" s="30">
        <v>3</v>
      </c>
      <c r="H20" t="str">
        <f>IF('2'!C19='2'!E19,"○","×")</f>
        <v>×</v>
      </c>
    </row>
    <row r="21" spans="7:8">
      <c r="G21" s="30">
        <v>4</v>
      </c>
      <c r="H21" t="str">
        <f>IF('2'!C20='2'!E20,"○","×")</f>
        <v>×</v>
      </c>
    </row>
    <row r="22" spans="7:8">
      <c r="G22" s="30">
        <v>5</v>
      </c>
      <c r="H22" t="str">
        <f>IF('2'!C21='2'!E21,"○","×")</f>
        <v>×</v>
      </c>
    </row>
    <row r="23" spans="7:8">
      <c r="G23" s="30">
        <v>6</v>
      </c>
      <c r="H23" t="str">
        <f>IF('2'!C22='2'!E22,"○","×")</f>
        <v>×</v>
      </c>
    </row>
    <row r="24" spans="7:8">
      <c r="G24" s="30">
        <v>7</v>
      </c>
      <c r="H24" t="str">
        <f>IF('2'!C23='2'!E23,"○","×")</f>
        <v>×</v>
      </c>
    </row>
    <row r="25" spans="7:8">
      <c r="G25" s="30">
        <v>8</v>
      </c>
      <c r="H25" t="str">
        <f>IF('2'!C24='2'!E24,"○","×")</f>
        <v>×</v>
      </c>
    </row>
    <row r="26" spans="7:8">
      <c r="G26" s="30"/>
    </row>
    <row r="27" spans="7:8">
      <c r="G27" s="30" t="s">
        <v>15</v>
      </c>
      <c r="H27" s="33">
        <v>0.15</v>
      </c>
    </row>
    <row r="28" spans="7:8">
      <c r="G28" s="29">
        <v>1</v>
      </c>
      <c r="H28" t="str">
        <f>IF('2'!C27='2'!E27,"○","×")</f>
        <v>×</v>
      </c>
    </row>
    <row r="29" spans="7:8">
      <c r="G29" s="29">
        <v>2</v>
      </c>
      <c r="H29" t="str">
        <f>IF('2'!C28='2'!E28,"○","×")</f>
        <v>×</v>
      </c>
    </row>
    <row r="30" spans="7:8">
      <c r="G30" s="29">
        <v>3</v>
      </c>
      <c r="H30" t="str">
        <f>IF('2'!C29='2'!E29,"○","×")</f>
        <v>×</v>
      </c>
    </row>
    <row r="31" spans="7:8">
      <c r="G31" s="29">
        <v>4</v>
      </c>
      <c r="H31" t="str">
        <f>IF('2'!C30='2'!E30,"○","×")</f>
        <v>×</v>
      </c>
    </row>
    <row r="32" spans="7:8">
      <c r="G32" s="29">
        <v>5</v>
      </c>
      <c r="H32" t="str">
        <f>IF('2'!C31='2'!E31,"○","×")</f>
        <v>×</v>
      </c>
    </row>
    <row r="33" spans="7:8">
      <c r="G33" s="28"/>
    </row>
    <row r="34" spans="7:8">
      <c r="G34" s="30" t="s">
        <v>23</v>
      </c>
      <c r="H34" s="33">
        <v>0.15</v>
      </c>
    </row>
    <row r="35" spans="7:8">
      <c r="G35" s="29">
        <v>1</v>
      </c>
      <c r="H35" t="str">
        <f>IF('2'!C34='2'!E34,"○","×")</f>
        <v>×</v>
      </c>
    </row>
    <row r="36" spans="7:8">
      <c r="G36" s="29">
        <v>2</v>
      </c>
      <c r="H36" t="str">
        <f>IF('2'!C35='2'!E35,"○","×")</f>
        <v>×</v>
      </c>
    </row>
    <row r="37" spans="7:8">
      <c r="G37" s="29">
        <v>3</v>
      </c>
      <c r="H37" t="str">
        <f>IF('2'!C36='2'!E36,"○","×")</f>
        <v>×</v>
      </c>
    </row>
    <row r="38" spans="7:8">
      <c r="G38" s="29">
        <v>4</v>
      </c>
      <c r="H38" t="str">
        <f>IF('2'!C37='2'!E37,"○","×")</f>
        <v>×</v>
      </c>
    </row>
    <row r="39" spans="7:8">
      <c r="G39" s="29">
        <v>5</v>
      </c>
      <c r="H39" t="str">
        <f>IF('2'!C38='2'!E38,"○","×")</f>
        <v>×</v>
      </c>
    </row>
  </sheetData>
  <phoneticPr fontId="11" type="noConversion"/>
  <conditionalFormatting sqref="H3:H39">
    <cfRule type="cellIs" dxfId="0" priority="1" operator="equal">
      <formula>"×"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644526FAC89BE41BC4740185FB6A21F" ma:contentTypeVersion="15" ma:contentTypeDescription="新しいドキュメントを作成します。" ma:contentTypeScope="" ma:versionID="ead15f38b966d36fa41830a4dfd29d24">
  <xsd:schema xmlns:xsd="http://www.w3.org/2001/XMLSchema" xmlns:xs="http://www.w3.org/2001/XMLSchema" xmlns:p="http://schemas.microsoft.com/office/2006/metadata/properties" xmlns:ns2="91417270-805a-4a1b-b243-3af7f5eb269b" xmlns:ns3="55bdb0ce-6516-44ac-a6a1-b420fc5c706a" targetNamespace="http://schemas.microsoft.com/office/2006/metadata/properties" ma:root="true" ma:fieldsID="d87b09ff94d9dab77171983fdd0574b5" ns2:_="" ns3:_="">
    <xsd:import namespace="91417270-805a-4a1b-b243-3af7f5eb269b"/>
    <xsd:import namespace="55bdb0ce-6516-44ac-a6a1-b420fc5c70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17270-805a-4a1b-b243-3af7f5eb26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7f4b508e-550c-47c0-b508-6dcc21d143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bdb0ce-6516-44ac-a6a1-b420fc5c706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39758cd-46ce-4eba-86c3-4800459fff10}" ma:internalName="TaxCatchAll" ma:showField="CatchAllData" ma:web="55bdb0ce-6516-44ac-a6a1-b420fc5c70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bdb0ce-6516-44ac-a6a1-b420fc5c706a" xsi:nil="true"/>
    <lcf76f155ced4ddcb4097134ff3c332f xmlns="91417270-805a-4a1b-b243-3af7f5eb269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E4D586-2D9A-4A30-A421-91A54FA75E9B}"/>
</file>

<file path=customXml/itemProps2.xml><?xml version="1.0" encoding="utf-8"?>
<ds:datastoreItem xmlns:ds="http://schemas.openxmlformats.org/officeDocument/2006/customXml" ds:itemID="{623B1760-0CDF-4CC4-9EB1-24BADD822B81}"/>
</file>

<file path=customXml/itemProps3.xml><?xml version="1.0" encoding="utf-8"?>
<ds:datastoreItem xmlns:ds="http://schemas.openxmlformats.org/officeDocument/2006/customXml" ds:itemID="{9265DDFA-8874-43CD-8D95-BBD56B751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2017-06-08T08:26:42Z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0x010100C644526FAC89BE41BC4740185FB6A21F</vt:lpwstr>
  </property>
</Properties>
</file>