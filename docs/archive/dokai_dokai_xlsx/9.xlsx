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C4" i="3"/>
  <c r="C2"/>
  <c r="C3" l="1"/>
  <c r="C38" i="4" l="1"/>
  <c r="H39" i="3" s="1"/>
  <c r="C37" i="4"/>
  <c r="H38" i="3" s="1"/>
  <c r="C36" i="4"/>
  <c r="H37" i="3" s="1"/>
  <c r="C34" i="4"/>
  <c r="H35" i="3" s="1"/>
  <c r="C35" i="4"/>
  <c r="H36" i="3" s="1"/>
  <c r="C31" i="4"/>
  <c r="H32" i="3" s="1"/>
  <c r="C30" i="4"/>
  <c r="H31" i="3" s="1"/>
  <c r="C29" i="4"/>
  <c r="C28"/>
  <c r="H29" i="3" s="1"/>
  <c r="C27" i="4"/>
  <c r="H28" i="3" s="1"/>
  <c r="G29" i="4" l="1"/>
  <c r="H30" i="3"/>
  <c r="G38" i="4"/>
  <c r="G37"/>
  <c r="G36"/>
  <c r="G35"/>
  <c r="G34"/>
  <c r="G31"/>
  <c r="G30"/>
  <c r="G28"/>
  <c r="G27"/>
  <c r="C24"/>
  <c r="H25" i="3" s="1"/>
  <c r="C23" i="4"/>
  <c r="C22"/>
  <c r="C21"/>
  <c r="H22" i="3" s="1"/>
  <c r="C20" i="4"/>
  <c r="C19"/>
  <c r="C18"/>
  <c r="C17"/>
  <c r="H18" i="3" s="1"/>
  <c r="C14" i="4"/>
  <c r="C13"/>
  <c r="C12"/>
  <c r="C11"/>
  <c r="H12" i="3" s="1"/>
  <c r="C10" i="4"/>
  <c r="H11" i="3" s="1"/>
  <c r="C7" i="4"/>
  <c r="C6"/>
  <c r="C5"/>
  <c r="C4"/>
  <c r="C3"/>
  <c r="H4" i="3" s="1"/>
  <c r="G10" i="4"/>
  <c r="G11"/>
  <c r="G17"/>
  <c r="G21"/>
  <c r="G24"/>
  <c r="G6" l="1"/>
  <c r="H7" i="3"/>
  <c r="G12" i="4"/>
  <c r="H13" i="3"/>
  <c r="G18" i="4"/>
  <c r="H19" i="3"/>
  <c r="G22" i="4"/>
  <c r="H23" i="3"/>
  <c r="G13" i="4"/>
  <c r="H14" i="3"/>
  <c r="G5" i="4"/>
  <c r="H6" i="3"/>
  <c r="G7" i="4"/>
  <c r="H8" i="3"/>
  <c r="G19" i="4"/>
  <c r="H20" i="3"/>
  <c r="G23" i="4"/>
  <c r="H24" i="3"/>
  <c r="G4" i="4"/>
  <c r="H5" i="3"/>
  <c r="G14" i="4"/>
  <c r="H15" i="3"/>
  <c r="G20" i="4"/>
  <c r="H21" i="3"/>
  <c r="G3" i="4"/>
  <c r="G46" l="1"/>
  <c r="E6" i="3" s="1"/>
</calcChain>
</file>

<file path=xl/sharedStrings.xml><?xml version="1.0" encoding="utf-8"?>
<sst xmlns="http://schemas.openxmlformats.org/spreadsheetml/2006/main" count="152" uniqueCount="111">
  <si>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</si>
  <si>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</si>
  <si>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</si>
  <si>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</si>
  <si>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</si>
  <si>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</si>
  <si>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</si>
  <si>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</si>
  <si>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</si>
  <si>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</si>
  <si>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</si>
  <si>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</si>
  <si>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</si>
  <si>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</si>
  <si>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</si>
  <si>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</si>
  <si>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</si>
  <si>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</si>
  <si>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</si>
  <si>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</si>
  <si>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</si>
  <si>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</si>
  <si>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</si>
  <si>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</si>
  <si>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読解第９課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</si>
  <si>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</si>
  <si>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</si>
  <si>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小王</t>
  </si>
  <si>
    <t>英语吗？</t>
  </si>
  <si>
    <t>1) 会  2) 能  3) 听  4) 听说</t>
  </si>
  <si>
    <t>②</t>
    <phoneticPr fontId="1"/>
  </si>
  <si>
    <t>你感冒了，明天在家好好儿休息,不</t>
    <phoneticPr fontId="1"/>
  </si>
  <si>
    <t>去学校。</t>
  </si>
  <si>
    <t>③</t>
    <phoneticPr fontId="1"/>
  </si>
  <si>
    <t>铃木上个星期去北京了，是吗？</t>
    <phoneticPr fontId="1"/>
  </si>
  <si>
    <t>④</t>
    <phoneticPr fontId="1"/>
  </si>
  <si>
    <t>铃木说小王昨天回北京了，是吗？</t>
  </si>
  <si>
    <t>⑤</t>
    <phoneticPr fontId="1"/>
  </si>
  <si>
    <t>我爸爸的英文很好,但我妈妈的英文</t>
    <phoneticPr fontId="1"/>
  </si>
  <si>
    <t>好。</t>
    <phoneticPr fontId="1"/>
  </si>
  <si>
    <t>1) 也  2) 又  3) 还  4) 再</t>
  </si>
  <si>
    <t>彼女はずっと中国語の勉強を頑張っている。</t>
  </si>
  <si>
    <t>1) 她一直学习中文坚持。  2) 她一直坚持学习中文。</t>
  </si>
  <si>
    <t>3) 她坚持学习一直中文。  4) 她坚持学习中文一直。</t>
  </si>
  <si>
    <t>彼はスキーの試合で優勝したことがある。</t>
  </si>
  <si>
    <t>1) 他得滑雪比赛的第一名过。 2) 他得过滑雪比赛的第一名。</t>
  </si>
  <si>
    <t>3) 他滑雪比赛得过的第一名。 4) 他滑雪比赛的第一名得过。</t>
  </si>
  <si>
    <t>私たちは一緒に学校へ勉強に行く予定である。</t>
  </si>
  <si>
    <t>1) 我们一起去学校打算学习。 2) 我们一起去学校学习打算。</t>
  </si>
  <si>
    <t>3) 我们一起打算去学校学习。 4) 我们打算一起去学校学习。</t>
  </si>
  <si>
    <t>私はピアノを弾くのがあまり好きではない。</t>
  </si>
  <si>
    <t>1) 我弹钢琴不太喜欢。   2) 我不太喜欢弹钢琴。</t>
    <phoneticPr fontId="1"/>
  </si>
  <si>
    <t>3) 我不太弹钢琴喜欢。   4) 我不太喜欢钢琴弹。</t>
    <phoneticPr fontId="1"/>
  </si>
  <si>
    <t>加藤さんの話によると、先生は中国に帰ったという。</t>
  </si>
  <si>
    <t>1) 加藤听说老师回中国了。 2) 听老师说加藤回中国了。</t>
  </si>
  <si>
    <t>3) 听加藤说老师回中国了。 4) 老师听说加藤回中国了。</t>
  </si>
  <si>
    <t>王さんの話によると、田中さんもサッカーができる。</t>
  </si>
  <si>
    <t>小王 足球 会 田中 踢 听 也 说</t>
  </si>
  <si>
    <t>彼女は今年のテニスの試合にまた１位を取りたがっている。</t>
  </si>
  <si>
    <t>想 她 第一名 还 今年 比赛 的 网球 得</t>
  </si>
  <si>
    <t>田中さんは中国語もでき、英語もできる。</t>
  </si>
  <si>
    <t>又 又 会 会 英文 中文 田中 说 说</t>
  </si>
  <si>
    <t>張さんは大学に入ってからずっとピアノを続けている。</t>
  </si>
  <si>
    <t>大学 小张 坚持 钢琴 上 一直 后 弹</t>
  </si>
  <si>
    <t>昨日はとても寒かったので、田中さんは風邪を引いた。</t>
  </si>
  <si>
    <t>冷 田中 了 了 昨天 感冒 太</t>
  </si>
  <si>
    <t>中国語は勉強すればすれほど難しくなる。また勉強すればするほど面白くなる。</t>
    <phoneticPr fontId="1"/>
  </si>
  <si>
    <t>越 越 越 越 难 学 学 有意思 中文 也</t>
  </si>
  <si>
    <t>鈴木さんは風邪を引いた。今日学校へテニスに来られない。</t>
  </si>
  <si>
    <t>感冒 不能 今天 网球 铃木 来 了 打 学校</t>
  </si>
  <si>
    <t>鈴木さんの話によると、先生は体育館に行ったという。</t>
    <phoneticPr fontId="1"/>
  </si>
  <si>
    <t>了 听 老师 铃木 去 说 体育馆</t>
  </si>
  <si>
    <t>他打算在体育馆网球。</t>
  </si>
  <si>
    <t>昨天不太热了。</t>
  </si>
  <si>
    <t>今天太热。</t>
  </si>
  <si>
    <t>现在是晴天，我们会打网球。</t>
  </si>
  <si>
    <t>　　上小学时，我喜欢文艺。我学过唱歌儿，学过跳舞，还学过弹钢琴。
从小学一年级开始学唱歌儿一直到小学结束。从小学二年级开始学跳舞
一直到高中三年级结束。钢琴也是从小学一年级开始学的，但现在一直
还坚持弹钢琴。
　　从高中一年级开始，每年我都参加全国钢琴比赛，得过三次全国第
一名。今年是我大学的最后一年，也是最后一次参加全国钢琴比赛，我
希望能得第一名。</t>
    <phoneticPr fontId="1"/>
  </si>
  <si>
    <t>我学了几年唱歌儿？</t>
  </si>
  <si>
    <t>1) 四年  2) 六年</t>
  </si>
  <si>
    <t>3) 八年  4) 十三年</t>
  </si>
  <si>
    <t>我学了几年跳舞？</t>
  </si>
  <si>
    <t>1) 五年  2) 七年</t>
  </si>
  <si>
    <t>3) 九年  4) 十一年</t>
  </si>
  <si>
    <t>我学了几年弹钢琴？</t>
  </si>
  <si>
    <t>1) 八年    2) 十二年</t>
    <phoneticPr fontId="1"/>
  </si>
  <si>
    <t>3) 十六年  4) 二十年</t>
  </si>
  <si>
    <t>我参加过几次全国钢琴比赛？</t>
  </si>
  <si>
    <t>1) 四次  2) 五次</t>
  </si>
  <si>
    <t>3) 六次  4) 不知道</t>
  </si>
  <si>
    <t>在高中，我得过几次全国钢琴比赛第一名？</t>
  </si>
  <si>
    <t>听小王说田中也会踢足球。</t>
    <phoneticPr fontId="11" type="noConversion"/>
  </si>
  <si>
    <t>她还想得今年网球比赛的第一名。</t>
    <phoneticPr fontId="11" type="noConversion"/>
  </si>
  <si>
    <t>今年的网球比赛，她还想得第一名。</t>
    <phoneticPr fontId="11" type="noConversion"/>
  </si>
  <si>
    <t>田中又会说中文又会说英文。</t>
    <phoneticPr fontId="11" type="noConversion"/>
  </si>
  <si>
    <t>小张上大学后一直坚持弹钢琴。</t>
    <phoneticPr fontId="11" type="noConversion"/>
  </si>
  <si>
    <t>上大学后小张一直坚持弹钢琴。</t>
    <phoneticPr fontId="11" type="noConversion"/>
  </si>
  <si>
    <t>昨天太冷了，田中感冒了。</t>
    <phoneticPr fontId="11" type="noConversion"/>
  </si>
  <si>
    <t>铃木感冒了，今天不能来学校打网球了。</t>
    <phoneticPr fontId="11" type="noConversion"/>
  </si>
  <si>
    <t>听铃木说老师去体育馆了。</t>
    <phoneticPr fontId="11" type="noConversion"/>
  </si>
  <si>
    <t>他打算在体育馆打网球。</t>
    <phoneticPr fontId="11" type="noConversion"/>
  </si>
  <si>
    <t>昨天不太热。</t>
    <phoneticPr fontId="11" type="noConversion"/>
  </si>
  <si>
    <t>昨天太热了。</t>
    <phoneticPr fontId="11" type="noConversion"/>
  </si>
  <si>
    <t>今天太热了。</t>
    <phoneticPr fontId="11" type="noConversion"/>
  </si>
  <si>
    <t>现在是晴天，我们能打网球。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</si>
  <si>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</si>
  <si>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</si>
  <si>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</si>
  <si>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</si>
  <si>
    <r>
      <t>中文越学越</t>
    </r>
    <r>
      <rPr>
        <sz val="11"/>
        <color theme="1"/>
        <rFont val="ＭＳ Ｐゴシック"/>
        <family val="3"/>
        <charset val="134"/>
        <scheme val="minor"/>
      </rPr>
      <t>难</t>
    </r>
    <r>
      <rPr>
        <sz val="11"/>
        <color theme="1"/>
        <rFont val="ＭＳ Ｐゴシック"/>
        <family val="2"/>
        <scheme val="minor"/>
      </rPr>
      <t>，也越学越有意思。</t>
    </r>
    <phoneticPr fontId="11" type="noConversion"/>
  </si>
  <si>
    <t>田中能中文和法文。</t>
  </si>
  <si>
    <r>
      <t>田中会</t>
    </r>
    <r>
      <rPr>
        <sz val="11"/>
        <color theme="1"/>
        <rFont val="ＭＳ Ｐゴシック"/>
        <family val="2"/>
        <scheme val="minor"/>
      </rPr>
      <t>中文和法文。</t>
    </r>
    <phoneticPr fontId="11" type="noConversion"/>
  </si>
</sst>
</file>

<file path=xl/styles.xml><?xml version="1.0" encoding="utf-8"?>
<styleSheet xmlns="http://schemas.openxmlformats.org/spreadsheetml/2006/main"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theme="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6" fillId="0" borderId="0" xfId="0" applyFont="1" applyAlignment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0" fillId="0" borderId="0" xfId="1" applyFont="1" applyBorder="1" applyAlignment="1">
      <alignment horizontal="center" vertic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3" fillId="0" borderId="0" xfId="0" applyFont="1" applyAlignment="1">
      <alignment horizontal="left"/>
    </xf>
    <xf numFmtId="0" fontId="15" fillId="2" borderId="0" xfId="0" applyFont="1" applyFill="1"/>
    <xf numFmtId="9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5"/>
  <sheetViews>
    <sheetView tabSelected="1" zoomScale="130" zoomScaleNormal="130" workbookViewId="0">
      <selection activeCell="D61" sqref="D61:X61"/>
    </sheetView>
  </sheetViews>
  <sheetFormatPr defaultRowHeight="14.25"/>
  <cols>
    <col min="1" max="1" width="1.875" style="10" customWidth="1"/>
    <col min="2" max="31" width="2.625" style="10" customWidth="1"/>
  </cols>
  <sheetData>
    <row r="1" spans="2:28" customFormat="1">
      <c r="B1" s="5" t="s">
        <v>24</v>
      </c>
      <c r="C1" s="5"/>
      <c r="D1" s="5"/>
      <c r="E1" s="5"/>
      <c r="F1" s="5"/>
      <c r="G1" s="5"/>
      <c r="H1" s="5"/>
      <c r="I1" s="5"/>
      <c r="J1" s="46" t="s">
        <v>2</v>
      </c>
      <c r="K1" s="46"/>
      <c r="L1" s="47"/>
      <c r="M1" s="47"/>
      <c r="N1" s="48"/>
      <c r="O1" s="48"/>
      <c r="P1" s="48"/>
      <c r="Q1" s="48"/>
      <c r="R1" s="48"/>
      <c r="S1" s="48"/>
      <c r="T1" s="48"/>
      <c r="U1" s="5"/>
      <c r="V1" s="10"/>
      <c r="W1" s="10"/>
      <c r="X1" s="10"/>
      <c r="Y1" s="10"/>
      <c r="Z1" s="10"/>
      <c r="AA1" s="10"/>
      <c r="AB1" s="10"/>
    </row>
    <row r="2" spans="2:28" customFormat="1" ht="19.5" customHeight="1">
      <c r="B2" s="49" t="s">
        <v>0</v>
      </c>
      <c r="C2" s="49"/>
      <c r="D2" s="49"/>
      <c r="E2" s="50"/>
      <c r="F2" s="50"/>
      <c r="G2" s="50"/>
      <c r="H2" s="50"/>
      <c r="I2" s="50"/>
      <c r="J2" s="50"/>
      <c r="K2" s="33"/>
      <c r="L2" s="34" t="s">
        <v>1</v>
      </c>
      <c r="M2" s="5"/>
      <c r="N2" s="50"/>
      <c r="O2" s="50"/>
      <c r="P2" s="50"/>
      <c r="Q2" s="50"/>
      <c r="R2" s="50"/>
      <c r="S2" s="50"/>
      <c r="T2" s="50"/>
      <c r="U2" s="50"/>
      <c r="V2" s="10"/>
      <c r="W2" s="10"/>
      <c r="X2" s="10"/>
      <c r="Y2" s="10"/>
      <c r="Z2" s="10"/>
      <c r="AA2" s="10"/>
      <c r="AB2" s="10"/>
    </row>
    <row r="3" spans="2:28" customFormat="1" ht="18.75" customHeight="1">
      <c r="B3" s="11" t="s">
        <v>13</v>
      </c>
      <c r="C3" s="12"/>
      <c r="D3" s="12"/>
      <c r="E3" s="25"/>
      <c r="F3" s="25"/>
      <c r="G3" s="25"/>
      <c r="H3" s="25"/>
      <c r="I3" s="25"/>
      <c r="J3" s="25"/>
      <c r="K3" s="10"/>
      <c r="L3" s="12"/>
      <c r="M3" s="10"/>
      <c r="N3" s="25"/>
      <c r="O3" s="25"/>
      <c r="P3" s="25"/>
      <c r="Q3" s="25"/>
      <c r="R3" s="25"/>
      <c r="S3" s="25"/>
      <c r="T3" s="25"/>
      <c r="U3" s="25"/>
      <c r="V3" s="10"/>
      <c r="W3" s="10"/>
      <c r="X3" s="10"/>
      <c r="Y3" s="10"/>
      <c r="Z3" s="10"/>
      <c r="AA3" s="10"/>
      <c r="AB3" s="10"/>
    </row>
    <row r="4" spans="2:28" customFormat="1" ht="13.5" customHeight="1">
      <c r="B4" s="13"/>
      <c r="C4" s="14" t="s">
        <v>25</v>
      </c>
      <c r="D4" s="10"/>
      <c r="E4" s="40"/>
      <c r="F4" s="40"/>
      <c r="G4" s="10"/>
      <c r="H4" s="11" t="s">
        <v>26</v>
      </c>
      <c r="I4" s="1" t="s">
        <v>27</v>
      </c>
      <c r="J4" s="13"/>
      <c r="K4" s="41"/>
      <c r="L4" s="41"/>
      <c r="M4" s="41"/>
      <c r="N4" s="13" t="s">
        <v>28</v>
      </c>
      <c r="O4" s="13"/>
      <c r="P4" s="13"/>
      <c r="Q4" s="13"/>
      <c r="R4" s="13"/>
      <c r="S4" s="13"/>
      <c r="T4" s="13"/>
      <c r="U4" s="13"/>
      <c r="V4" s="13"/>
      <c r="W4" s="13"/>
      <c r="X4" s="10"/>
      <c r="Y4" s="10"/>
      <c r="Z4" s="10"/>
      <c r="AA4" s="10"/>
      <c r="AB4" s="10"/>
    </row>
    <row r="5" spans="2:28" customFormat="1" ht="13.5" customHeight="1">
      <c r="B5" s="13"/>
      <c r="C5" s="13"/>
      <c r="D5" s="3"/>
      <c r="E5" s="10"/>
      <c r="F5" s="10"/>
      <c r="G5" s="10"/>
      <c r="H5" s="3"/>
      <c r="I5" s="3" t="s">
        <v>29</v>
      </c>
      <c r="J5" s="1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10"/>
      <c r="AA5" s="10"/>
      <c r="AB5" s="10"/>
    </row>
    <row r="6" spans="2:28" customFormat="1" ht="13.5" customHeight="1">
      <c r="B6" s="13"/>
      <c r="C6" s="14" t="s">
        <v>25</v>
      </c>
      <c r="D6" s="10"/>
      <c r="E6" s="40"/>
      <c r="F6" s="40"/>
      <c r="G6" s="10"/>
      <c r="H6" s="11" t="s">
        <v>30</v>
      </c>
      <c r="I6" s="30" t="s">
        <v>31</v>
      </c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18"/>
      <c r="V6" s="16"/>
      <c r="W6" s="16"/>
      <c r="X6" s="15"/>
      <c r="Y6" s="3" t="s">
        <v>32</v>
      </c>
      <c r="Z6" s="10"/>
      <c r="AA6" s="10"/>
      <c r="AB6" s="10"/>
    </row>
    <row r="7" spans="2:28" customFormat="1" ht="13.5" customHeight="1">
      <c r="B7" s="13"/>
      <c r="C7" s="13"/>
      <c r="D7" s="10"/>
      <c r="E7" s="10"/>
      <c r="F7" s="10"/>
      <c r="G7" s="10"/>
      <c r="H7" s="3"/>
      <c r="I7" s="3" t="s">
        <v>29</v>
      </c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0"/>
      <c r="Z7" s="10"/>
      <c r="AA7" s="10"/>
      <c r="AB7" s="10"/>
    </row>
    <row r="8" spans="2:28" customFormat="1" ht="13.5" customHeight="1">
      <c r="B8" s="13"/>
      <c r="C8" s="14" t="s">
        <v>25</v>
      </c>
      <c r="D8" s="10"/>
      <c r="E8" s="40"/>
      <c r="F8" s="40"/>
      <c r="G8" s="10"/>
      <c r="H8" s="11" t="s">
        <v>33</v>
      </c>
      <c r="I8" s="41"/>
      <c r="J8" s="41"/>
      <c r="K8" s="41"/>
      <c r="L8" s="3" t="s">
        <v>34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10"/>
      <c r="Z8" s="10"/>
      <c r="AA8" s="10"/>
      <c r="AB8" s="10"/>
    </row>
    <row r="9" spans="2:28" customFormat="1" ht="13.5" customHeight="1">
      <c r="B9" s="13"/>
      <c r="C9" s="13"/>
      <c r="D9" s="17"/>
      <c r="E9" s="10"/>
      <c r="F9" s="10"/>
      <c r="G9" s="10"/>
      <c r="H9" s="3"/>
      <c r="I9" s="3" t="s">
        <v>29</v>
      </c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10"/>
      <c r="Z9" s="10"/>
      <c r="AA9" s="10"/>
      <c r="AB9" s="10"/>
    </row>
    <row r="10" spans="2:28" customFormat="1" ht="13.5" customHeight="1">
      <c r="B10" s="13"/>
      <c r="C10" s="14" t="s">
        <v>25</v>
      </c>
      <c r="D10" s="10"/>
      <c r="E10" s="40"/>
      <c r="F10" s="40"/>
      <c r="G10" s="10"/>
      <c r="H10" s="11" t="s">
        <v>35</v>
      </c>
      <c r="I10" s="41"/>
      <c r="J10" s="41"/>
      <c r="K10" s="41"/>
      <c r="L10" s="3" t="s">
        <v>36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0"/>
      <c r="Z10" s="10"/>
      <c r="AA10" s="10"/>
      <c r="AB10" s="10"/>
    </row>
    <row r="11" spans="2:28" customFormat="1" ht="13.5" customHeight="1">
      <c r="B11" s="13"/>
      <c r="C11" s="13"/>
      <c r="D11" s="17"/>
      <c r="E11" s="10"/>
      <c r="F11" s="10"/>
      <c r="G11" s="10"/>
      <c r="H11" s="3"/>
      <c r="I11" s="3" t="s">
        <v>29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0"/>
      <c r="Z11" s="10"/>
      <c r="AA11" s="10"/>
      <c r="AB11" s="10"/>
    </row>
    <row r="12" spans="2:28" customFormat="1" ht="13.5" customHeight="1">
      <c r="B12" s="13"/>
      <c r="C12" s="14" t="s">
        <v>25</v>
      </c>
      <c r="D12" s="10"/>
      <c r="E12" s="40"/>
      <c r="F12" s="40"/>
      <c r="G12" s="10"/>
      <c r="H12" s="11" t="s">
        <v>37</v>
      </c>
      <c r="I12" s="4" t="s">
        <v>38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18"/>
      <c r="V12" s="16"/>
      <c r="W12" s="16"/>
      <c r="X12" s="15"/>
      <c r="Y12" s="3" t="s">
        <v>39</v>
      </c>
      <c r="Z12" s="13"/>
      <c r="AA12" s="45"/>
      <c r="AB12" s="45"/>
    </row>
    <row r="13" spans="2:28" customFormat="1" ht="13.5" customHeight="1">
      <c r="B13" s="13"/>
      <c r="C13" s="13"/>
      <c r="D13" s="12"/>
      <c r="E13" s="10"/>
      <c r="F13" s="10"/>
      <c r="G13" s="10"/>
      <c r="H13" s="3"/>
      <c r="I13" s="3" t="s">
        <v>40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5"/>
      <c r="Z13" s="10"/>
      <c r="AA13" s="19"/>
      <c r="AB13" s="10"/>
    </row>
    <row r="14" spans="2:28" customFormat="1" ht="13.5" customHeight="1">
      <c r="B14" s="11" t="s">
        <v>6</v>
      </c>
      <c r="C14" s="24"/>
      <c r="D14" s="24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2:28" customFormat="1" ht="13.5" customHeight="1">
      <c r="B15" s="13"/>
      <c r="C15" s="14" t="s">
        <v>25</v>
      </c>
      <c r="D15" s="10"/>
      <c r="E15" s="40"/>
      <c r="F15" s="40"/>
      <c r="G15" s="10"/>
      <c r="H15" s="11" t="s">
        <v>26</v>
      </c>
      <c r="I15" s="6" t="s">
        <v>41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</row>
    <row r="16" spans="2:28" customFormat="1" ht="13.5" customHeight="1">
      <c r="B16" s="13"/>
      <c r="C16" s="13"/>
      <c r="D16" s="24"/>
      <c r="E16" s="10"/>
      <c r="F16" s="10"/>
      <c r="G16" s="10"/>
      <c r="H16" s="10"/>
      <c r="I16" s="1" t="s">
        <v>42</v>
      </c>
      <c r="J16" s="7"/>
      <c r="K16" s="9"/>
      <c r="L16" s="9"/>
      <c r="M16" s="9"/>
      <c r="N16" s="9"/>
      <c r="O16" s="9"/>
      <c r="P16" s="9"/>
      <c r="Q16" s="9"/>
      <c r="R16" s="9"/>
      <c r="S16" s="9"/>
      <c r="T16" s="7"/>
      <c r="U16" s="9"/>
      <c r="V16" s="9"/>
      <c r="W16" s="9"/>
      <c r="X16" s="9"/>
      <c r="Y16" s="9"/>
      <c r="Z16" s="9"/>
      <c r="AA16" s="9"/>
      <c r="AB16" s="10"/>
    </row>
    <row r="17" spans="2:27" customFormat="1" ht="13.5" customHeight="1">
      <c r="B17" s="13"/>
      <c r="C17" s="13"/>
      <c r="D17" s="24"/>
      <c r="E17" s="10"/>
      <c r="F17" s="10"/>
      <c r="G17" s="10"/>
      <c r="H17" s="10"/>
      <c r="I17" s="1" t="s">
        <v>43</v>
      </c>
      <c r="J17" s="7"/>
      <c r="K17" s="8"/>
      <c r="L17" s="9"/>
      <c r="M17" s="9"/>
      <c r="N17" s="9"/>
      <c r="O17" s="9"/>
      <c r="P17" s="9"/>
      <c r="Q17" s="9"/>
      <c r="R17" s="9"/>
      <c r="S17" s="9"/>
      <c r="T17" s="7"/>
      <c r="U17" s="9"/>
      <c r="V17" s="9"/>
      <c r="W17" s="9"/>
      <c r="X17" s="9"/>
      <c r="Y17" s="9"/>
      <c r="Z17" s="9"/>
      <c r="AA17" s="9"/>
    </row>
    <row r="18" spans="2:27" customFormat="1" ht="13.5" customHeight="1">
      <c r="B18" s="13"/>
      <c r="C18" s="14" t="s">
        <v>25</v>
      </c>
      <c r="D18" s="10"/>
      <c r="E18" s="40"/>
      <c r="F18" s="40"/>
      <c r="G18" s="10"/>
      <c r="H18" s="11" t="s">
        <v>30</v>
      </c>
      <c r="I18" s="5" t="s">
        <v>44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t="13.5" customHeight="1">
      <c r="B19" s="13"/>
      <c r="C19" s="13"/>
      <c r="D19" s="24"/>
      <c r="E19" s="10"/>
      <c r="F19" s="10"/>
      <c r="G19" s="10"/>
      <c r="H19" s="10"/>
      <c r="I19" s="1" t="s">
        <v>45</v>
      </c>
      <c r="J19" s="7"/>
      <c r="K19" s="9"/>
      <c r="L19" s="9"/>
      <c r="M19" s="9"/>
      <c r="N19" s="9"/>
      <c r="O19" s="9"/>
      <c r="P19" s="9"/>
      <c r="Q19" s="9"/>
      <c r="R19" s="9"/>
      <c r="S19" s="9"/>
      <c r="T19" s="7"/>
      <c r="U19" s="9"/>
      <c r="V19" s="9"/>
      <c r="W19" s="9"/>
      <c r="X19" s="9"/>
      <c r="Y19" s="9"/>
      <c r="Z19" s="9"/>
      <c r="AA19" s="9"/>
    </row>
    <row r="20" spans="2:27" customFormat="1" ht="13.5" customHeight="1">
      <c r="B20" s="13"/>
      <c r="C20" s="13"/>
      <c r="D20" s="24"/>
      <c r="E20" s="10"/>
      <c r="F20" s="10"/>
      <c r="G20" s="10"/>
      <c r="H20" s="10"/>
      <c r="I20" s="1" t="s">
        <v>46</v>
      </c>
      <c r="J20" s="7"/>
      <c r="K20" s="8"/>
      <c r="L20" s="9"/>
      <c r="M20" s="9"/>
      <c r="N20" s="9"/>
      <c r="O20" s="9"/>
      <c r="P20" s="9"/>
      <c r="Q20" s="9"/>
      <c r="R20" s="9"/>
      <c r="S20" s="9"/>
      <c r="T20" s="7"/>
      <c r="U20" s="9"/>
      <c r="V20" s="9"/>
      <c r="W20" s="9"/>
      <c r="X20" s="9"/>
      <c r="Y20" s="9"/>
      <c r="Z20" s="9"/>
      <c r="AA20" s="9"/>
    </row>
    <row r="21" spans="2:27" customFormat="1" ht="13.5" customHeight="1">
      <c r="B21" s="13"/>
      <c r="C21" s="14" t="s">
        <v>25</v>
      </c>
      <c r="D21" s="10"/>
      <c r="E21" s="40"/>
      <c r="F21" s="40"/>
      <c r="G21" s="10"/>
      <c r="H21" s="11" t="s">
        <v>33</v>
      </c>
      <c r="I21" s="5" t="s">
        <v>47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t="13.5" customHeight="1">
      <c r="B22" s="13"/>
      <c r="C22" s="13"/>
      <c r="D22" s="24"/>
      <c r="E22" s="10"/>
      <c r="F22" s="10"/>
      <c r="G22" s="10"/>
      <c r="H22" s="10"/>
      <c r="I22" s="1" t="s">
        <v>48</v>
      </c>
      <c r="J22" s="7"/>
      <c r="K22" s="9"/>
      <c r="L22" s="9"/>
      <c r="M22" s="9"/>
      <c r="N22" s="9"/>
      <c r="O22" s="9"/>
      <c r="P22" s="9"/>
      <c r="Q22" s="9"/>
      <c r="R22" s="9"/>
      <c r="S22" s="9"/>
      <c r="T22" s="7"/>
      <c r="U22" s="9"/>
      <c r="V22" s="9"/>
      <c r="W22" s="9"/>
      <c r="X22" s="9"/>
      <c r="Y22" s="9"/>
      <c r="Z22" s="9"/>
      <c r="AA22" s="9"/>
    </row>
    <row r="23" spans="2:27" customFormat="1" ht="13.5" customHeight="1">
      <c r="B23" s="13"/>
      <c r="C23" s="13"/>
      <c r="D23" s="24"/>
      <c r="E23" s="10"/>
      <c r="F23" s="10"/>
      <c r="G23" s="10"/>
      <c r="H23" s="10"/>
      <c r="I23" s="1" t="s">
        <v>49</v>
      </c>
      <c r="J23" s="7"/>
      <c r="K23" s="8"/>
      <c r="L23" s="9"/>
      <c r="M23" s="9"/>
      <c r="N23" s="9"/>
      <c r="O23" s="9"/>
      <c r="P23" s="9"/>
      <c r="Q23" s="9"/>
      <c r="R23" s="9"/>
      <c r="S23" s="9"/>
      <c r="T23" s="7"/>
      <c r="U23" s="9"/>
      <c r="V23" s="9"/>
      <c r="W23" s="9"/>
      <c r="X23" s="9"/>
      <c r="Y23" s="9"/>
      <c r="Z23" s="9"/>
      <c r="AA23" s="9"/>
    </row>
    <row r="24" spans="2:27" customFormat="1" ht="13.5" customHeight="1">
      <c r="B24" s="13"/>
      <c r="C24" s="14" t="s">
        <v>25</v>
      </c>
      <c r="D24" s="10"/>
      <c r="E24" s="40"/>
      <c r="F24" s="40"/>
      <c r="G24" s="10"/>
      <c r="H24" s="11" t="s">
        <v>35</v>
      </c>
      <c r="I24" s="5" t="s">
        <v>50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t="13.5" customHeight="1">
      <c r="B25" s="13"/>
      <c r="C25" s="13"/>
      <c r="D25" s="24"/>
      <c r="E25" s="10"/>
      <c r="F25" s="10"/>
      <c r="G25" s="10"/>
      <c r="H25" s="10"/>
      <c r="I25" s="1" t="s">
        <v>51</v>
      </c>
      <c r="J25" s="7"/>
      <c r="K25" s="9"/>
      <c r="L25" s="9"/>
      <c r="M25" s="9"/>
      <c r="N25" s="9"/>
      <c r="O25" s="9"/>
      <c r="P25" s="9"/>
      <c r="Q25" s="9"/>
      <c r="R25" s="9"/>
      <c r="S25" s="9"/>
      <c r="T25" s="7"/>
      <c r="U25" s="9"/>
      <c r="V25" s="9"/>
      <c r="W25" s="9"/>
      <c r="X25" s="9"/>
      <c r="Y25" s="9"/>
      <c r="Z25" s="9"/>
      <c r="AA25" s="9"/>
    </row>
    <row r="26" spans="2:27" customFormat="1" ht="13.5" customHeight="1">
      <c r="B26" s="13"/>
      <c r="C26" s="13"/>
      <c r="D26" s="24"/>
      <c r="E26" s="10"/>
      <c r="F26" s="10"/>
      <c r="G26" s="10"/>
      <c r="H26" s="10"/>
      <c r="I26" s="1" t="s">
        <v>52</v>
      </c>
      <c r="J26" s="7"/>
      <c r="K26" s="8"/>
      <c r="L26" s="9"/>
      <c r="M26" s="9"/>
      <c r="N26" s="9"/>
      <c r="O26" s="9"/>
      <c r="P26" s="9"/>
      <c r="Q26" s="9"/>
      <c r="R26" s="9"/>
      <c r="S26" s="9"/>
      <c r="T26" s="7"/>
      <c r="U26" s="9"/>
      <c r="V26" s="9"/>
      <c r="W26" s="9"/>
      <c r="X26" s="9"/>
      <c r="Y26" s="9"/>
      <c r="Z26" s="9"/>
      <c r="AA26" s="9"/>
    </row>
    <row r="27" spans="2:27" customFormat="1" ht="13.5" customHeight="1">
      <c r="B27" s="13"/>
      <c r="C27" s="14" t="s">
        <v>25</v>
      </c>
      <c r="D27" s="10"/>
      <c r="E27" s="40"/>
      <c r="F27" s="40"/>
      <c r="G27" s="10"/>
      <c r="H27" s="11" t="s">
        <v>37</v>
      </c>
      <c r="I27" s="5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t="13.5" customHeight="1">
      <c r="B28" s="13"/>
      <c r="C28" s="13"/>
      <c r="D28" s="24"/>
      <c r="E28" s="10"/>
      <c r="F28" s="10"/>
      <c r="G28" s="10"/>
      <c r="H28" s="12"/>
      <c r="I28" s="1" t="s">
        <v>54</v>
      </c>
      <c r="J28" s="7"/>
      <c r="K28" s="9"/>
      <c r="L28" s="9"/>
      <c r="M28" s="9"/>
      <c r="N28" s="9"/>
      <c r="O28" s="9"/>
      <c r="P28" s="9"/>
      <c r="Q28" s="9"/>
      <c r="R28" s="9"/>
      <c r="S28" s="9"/>
      <c r="T28" s="7"/>
      <c r="U28" s="9"/>
      <c r="V28" s="9"/>
      <c r="W28" s="9"/>
      <c r="X28" s="9"/>
      <c r="Y28" s="9"/>
      <c r="Z28" s="9"/>
      <c r="AA28" s="9"/>
    </row>
    <row r="29" spans="2:27" customFormat="1" ht="13.5" customHeight="1">
      <c r="B29" s="13"/>
      <c r="C29" s="13"/>
      <c r="D29" s="24"/>
      <c r="E29" s="10"/>
      <c r="F29" s="10"/>
      <c r="G29" s="10"/>
      <c r="H29" s="12"/>
      <c r="I29" s="1" t="s">
        <v>55</v>
      </c>
      <c r="J29" s="7"/>
      <c r="K29" s="8"/>
      <c r="L29" s="9"/>
      <c r="M29" s="9"/>
      <c r="N29" s="9"/>
      <c r="O29" s="9"/>
      <c r="P29" s="9"/>
      <c r="Q29" s="9"/>
      <c r="R29" s="9"/>
      <c r="S29" s="9"/>
      <c r="T29" s="7"/>
      <c r="U29" s="9"/>
      <c r="V29" s="9"/>
      <c r="W29" s="9"/>
      <c r="X29" s="9"/>
      <c r="Y29" s="9"/>
      <c r="Z29" s="9"/>
      <c r="AA29" s="9"/>
    </row>
    <row r="30" spans="2:27" customFormat="1">
      <c r="B30" s="5" t="s">
        <v>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2:27" customFormat="1">
      <c r="B31" s="10"/>
      <c r="C31" s="11" t="s">
        <v>26</v>
      </c>
      <c r="D31" s="5" t="s">
        <v>56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2:27" s="1" customFormat="1">
      <c r="D32" s="1" t="s">
        <v>57</v>
      </c>
    </row>
    <row r="33" spans="3:23" s="1" customFormat="1"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</row>
    <row r="34" spans="3:23" customFormat="1">
      <c r="C34" s="11" t="s">
        <v>30</v>
      </c>
      <c r="D34" s="5" t="s">
        <v>58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3:23" s="1" customFormat="1">
      <c r="D35" s="1" t="s">
        <v>59</v>
      </c>
    </row>
    <row r="36" spans="3:23" s="1" customFormat="1"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</row>
    <row r="37" spans="3:23" customFormat="1">
      <c r="C37" s="11" t="s">
        <v>33</v>
      </c>
      <c r="D37" s="5" t="s">
        <v>60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3:23" s="1" customFormat="1">
      <c r="D38" s="1" t="s">
        <v>61</v>
      </c>
    </row>
    <row r="39" spans="3:23" s="1" customFormat="1"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</row>
    <row r="40" spans="3:23" customFormat="1">
      <c r="C40" s="11" t="s">
        <v>35</v>
      </c>
      <c r="D40" s="5" t="s">
        <v>62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3:23" s="1" customFormat="1">
      <c r="D41" s="1" t="s">
        <v>63</v>
      </c>
    </row>
    <row r="42" spans="3:23" s="1" customFormat="1"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</row>
    <row r="43" spans="3:23" customFormat="1">
      <c r="C43" s="5" t="s">
        <v>5</v>
      </c>
      <c r="D43" s="5" t="s">
        <v>64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3:23" s="1" customFormat="1">
      <c r="D44" s="1" t="s">
        <v>65</v>
      </c>
    </row>
    <row r="45" spans="3:23" s="1" customFormat="1"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 spans="3:23" customFormat="1">
      <c r="C46" s="5" t="s">
        <v>8</v>
      </c>
      <c r="D46" s="28" t="s">
        <v>66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3:23" s="1" customFormat="1">
      <c r="D47" s="1" t="s">
        <v>67</v>
      </c>
    </row>
    <row r="48" spans="3:23" s="1" customFormat="1"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</row>
    <row r="49" spans="2:24" customFormat="1">
      <c r="B49" s="10"/>
      <c r="C49" s="5" t="s">
        <v>9</v>
      </c>
      <c r="D49" s="5" t="s">
        <v>68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2:24" s="1" customFormat="1">
      <c r="D50" s="1" t="s">
        <v>69</v>
      </c>
    </row>
    <row r="51" spans="2:24" s="1" customFormat="1"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</row>
    <row r="52" spans="2:24" customFormat="1">
      <c r="B52" s="10"/>
      <c r="C52" s="5" t="s">
        <v>10</v>
      </c>
      <c r="D52" s="5" t="s">
        <v>70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2:24" s="1" customFormat="1">
      <c r="D53" s="1" t="s">
        <v>71</v>
      </c>
    </row>
    <row r="54" spans="2:24" s="1" customFormat="1"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</row>
    <row r="55" spans="2:24" customFormat="1">
      <c r="B55" s="1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10"/>
    </row>
    <row r="56" spans="2:24" customFormat="1">
      <c r="B56" s="10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10"/>
    </row>
    <row r="57" spans="2:24" customFormat="1">
      <c r="B57" s="5" t="s">
        <v>11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10"/>
    </row>
    <row r="58" spans="2:24" s="1" customFormat="1">
      <c r="C58" s="1" t="s">
        <v>3</v>
      </c>
      <c r="D58" s="1" t="s">
        <v>72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2:24" s="1" customFormat="1">
      <c r="C59" s="2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spans="2:24" s="1" customFormat="1">
      <c r="C60" s="23" t="s">
        <v>30</v>
      </c>
      <c r="D60" s="1" t="s">
        <v>109</v>
      </c>
    </row>
    <row r="61" spans="2:24" s="1" customFormat="1"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spans="2:24" s="1" customFormat="1">
      <c r="C62" s="23" t="s">
        <v>33</v>
      </c>
      <c r="D62" s="1" t="s">
        <v>73</v>
      </c>
    </row>
    <row r="63" spans="2:24" s="1" customFormat="1">
      <c r="C63" s="2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spans="2:24" s="1" customFormat="1">
      <c r="C64" s="23" t="s">
        <v>35</v>
      </c>
      <c r="D64" s="1" t="s">
        <v>74</v>
      </c>
    </row>
    <row r="65" spans="1:31" s="1" customFormat="1">
      <c r="C65" s="2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spans="1:31" s="1" customFormat="1">
      <c r="C66" s="1" t="s">
        <v>5</v>
      </c>
      <c r="D66" s="1" t="s">
        <v>75</v>
      </c>
    </row>
    <row r="67" spans="1:31" s="1" customFormat="1">
      <c r="C67" s="23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spans="1:31" ht="6" customHeight="1">
      <c r="A68"/>
      <c r="C68" s="17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31" ht="26.25" customHeight="1">
      <c r="A69"/>
      <c r="B69" s="43" t="s">
        <v>12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spans="1:31" ht="108" customHeight="1">
      <c r="A70"/>
      <c r="B70" s="44" t="s">
        <v>76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spans="1:31">
      <c r="A71"/>
      <c r="C71" s="14" t="s">
        <v>25</v>
      </c>
      <c r="E71" s="40"/>
      <c r="F71" s="40"/>
      <c r="H71" s="5" t="s">
        <v>3</v>
      </c>
      <c r="I71" s="1" t="s">
        <v>77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Y71" s="20"/>
      <c r="Z71" s="20"/>
      <c r="AA71" s="20"/>
    </row>
    <row r="72" spans="1:31">
      <c r="A72"/>
      <c r="B72" s="13"/>
      <c r="C72" s="13"/>
      <c r="D72" s="7"/>
      <c r="H72" s="9"/>
      <c r="I72" s="1" t="s">
        <v>78</v>
      </c>
      <c r="J72" s="7"/>
      <c r="K72" s="9"/>
      <c r="L72" s="9"/>
      <c r="M72" s="9"/>
      <c r="N72" s="9"/>
      <c r="O72" s="9"/>
      <c r="P72" s="9"/>
      <c r="Q72" s="9"/>
      <c r="R72" s="9"/>
      <c r="S72" s="9"/>
      <c r="T72" s="7"/>
      <c r="U72" s="9"/>
      <c r="V72" s="9"/>
      <c r="W72" s="9"/>
      <c r="X72" s="9"/>
      <c r="Y72" s="9"/>
    </row>
    <row r="73" spans="1:31">
      <c r="A73"/>
      <c r="B73" s="13"/>
      <c r="C73" s="13"/>
      <c r="D73" s="7"/>
      <c r="H73" s="9"/>
      <c r="I73" s="1" t="s">
        <v>79</v>
      </c>
      <c r="J73" s="7"/>
      <c r="K73" s="8"/>
      <c r="L73" s="9"/>
      <c r="M73" s="9"/>
      <c r="N73" s="9"/>
      <c r="O73" s="9"/>
      <c r="P73" s="9"/>
      <c r="Q73" s="9"/>
      <c r="R73" s="9"/>
      <c r="S73" s="9"/>
      <c r="T73" s="7"/>
      <c r="U73" s="9"/>
      <c r="V73" s="9"/>
      <c r="W73" s="9"/>
      <c r="X73" s="9"/>
      <c r="Y73" s="9"/>
    </row>
    <row r="74" spans="1:31">
      <c r="A74"/>
      <c r="B74" s="13"/>
      <c r="C74" s="14" t="s">
        <v>25</v>
      </c>
      <c r="E74" s="40"/>
      <c r="F74" s="40"/>
      <c r="H74" s="5" t="s">
        <v>4</v>
      </c>
      <c r="I74" s="1" t="s">
        <v>80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Y74" s="20"/>
      <c r="Z74" s="20"/>
      <c r="AA74" s="20"/>
      <c r="AB74" s="20"/>
      <c r="AC74" s="20"/>
    </row>
    <row r="75" spans="1:31">
      <c r="A75"/>
      <c r="B75" s="13"/>
      <c r="C75" s="13"/>
      <c r="D75" s="7"/>
      <c r="H75" s="9"/>
      <c r="I75" s="1" t="s">
        <v>81</v>
      </c>
      <c r="J75" s="7"/>
      <c r="K75" s="9"/>
      <c r="L75" s="9"/>
      <c r="M75" s="9"/>
      <c r="N75" s="9"/>
      <c r="O75" s="9"/>
      <c r="P75" s="9"/>
      <c r="Q75" s="9"/>
      <c r="R75" s="9"/>
      <c r="S75" s="9"/>
      <c r="T75" s="7"/>
      <c r="U75" s="9"/>
      <c r="V75" s="9"/>
    </row>
    <row r="76" spans="1:31">
      <c r="A76"/>
      <c r="B76" s="13"/>
      <c r="C76" s="13"/>
      <c r="D76" s="7"/>
      <c r="H76" s="9"/>
      <c r="I76" s="1" t="s">
        <v>82</v>
      </c>
      <c r="J76" s="7"/>
      <c r="K76" s="8"/>
      <c r="L76" s="9"/>
      <c r="M76" s="9"/>
      <c r="N76" s="9"/>
      <c r="O76" s="9"/>
      <c r="P76" s="9"/>
      <c r="Q76" s="9"/>
      <c r="R76" s="9"/>
      <c r="S76" s="9"/>
      <c r="T76" s="7"/>
      <c r="U76" s="9"/>
      <c r="V76" s="9"/>
      <c r="Y76" s="20"/>
      <c r="Z76" s="20"/>
      <c r="AA76" s="20"/>
      <c r="AB76" s="20"/>
    </row>
    <row r="77" spans="1:31">
      <c r="A77"/>
      <c r="B77" s="13"/>
      <c r="C77" s="14" t="s">
        <v>25</v>
      </c>
      <c r="E77" s="40"/>
      <c r="F77" s="40"/>
      <c r="H77" s="11" t="s">
        <v>33</v>
      </c>
      <c r="I77" s="1" t="s">
        <v>83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Y77" s="20"/>
      <c r="Z77" s="20"/>
      <c r="AA77" s="20"/>
      <c r="AB77" s="20"/>
    </row>
    <row r="78" spans="1:31">
      <c r="A78"/>
      <c r="B78" s="13"/>
      <c r="C78" s="13"/>
      <c r="D78" s="9"/>
      <c r="H78" s="9"/>
      <c r="I78" s="1" t="s">
        <v>84</v>
      </c>
      <c r="J78" s="7"/>
      <c r="K78" s="9"/>
      <c r="L78" s="9"/>
      <c r="M78" s="9"/>
      <c r="N78" s="9"/>
      <c r="O78" s="9"/>
      <c r="P78" s="9"/>
      <c r="Q78" s="9"/>
      <c r="R78" s="9"/>
      <c r="S78" s="9"/>
      <c r="T78" s="7"/>
      <c r="U78" s="9"/>
      <c r="V78" s="9"/>
      <c r="Y78" s="20"/>
      <c r="Z78" s="20"/>
      <c r="AA78" s="20"/>
      <c r="AB78" s="20"/>
    </row>
    <row r="79" spans="1:31">
      <c r="A79"/>
      <c r="B79" s="13"/>
      <c r="C79" s="13"/>
      <c r="D79" s="9"/>
      <c r="H79" s="9"/>
      <c r="I79" s="1" t="s">
        <v>85</v>
      </c>
      <c r="J79" s="7"/>
      <c r="K79" s="8"/>
      <c r="L79" s="9"/>
      <c r="M79" s="9"/>
      <c r="N79" s="9"/>
      <c r="O79" s="9"/>
      <c r="P79" s="9"/>
      <c r="Q79" s="9"/>
      <c r="R79" s="9"/>
      <c r="S79" s="9"/>
      <c r="T79" s="7"/>
      <c r="U79" s="9"/>
      <c r="V79" s="9"/>
      <c r="Y79" s="20"/>
      <c r="Z79" s="20"/>
      <c r="AA79" s="20"/>
      <c r="AB79" s="20"/>
    </row>
    <row r="80" spans="1:31">
      <c r="A80"/>
      <c r="B80" s="13"/>
      <c r="C80" s="14" t="s">
        <v>25</v>
      </c>
      <c r="E80" s="40"/>
      <c r="F80" s="40"/>
      <c r="H80" s="11" t="s">
        <v>35</v>
      </c>
      <c r="I80" s="1" t="s">
        <v>86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Y80" s="20"/>
      <c r="Z80" s="20"/>
      <c r="AA80" s="20"/>
      <c r="AB80" s="20"/>
    </row>
    <row r="81" spans="2:28" customFormat="1">
      <c r="B81" s="13"/>
      <c r="C81" s="13"/>
      <c r="D81" s="9"/>
      <c r="E81" s="10"/>
      <c r="F81" s="10"/>
      <c r="G81" s="10"/>
      <c r="H81" s="9"/>
      <c r="I81" s="1" t="s">
        <v>87</v>
      </c>
      <c r="J81" s="7"/>
      <c r="K81" s="9"/>
      <c r="L81" s="9"/>
      <c r="M81" s="9"/>
      <c r="N81" s="9"/>
      <c r="O81" s="9"/>
      <c r="P81" s="9"/>
      <c r="Q81" s="9"/>
      <c r="R81" s="9"/>
      <c r="S81" s="9"/>
      <c r="T81" s="7"/>
      <c r="U81" s="9"/>
      <c r="V81" s="9"/>
      <c r="W81" s="10"/>
      <c r="X81" s="10"/>
      <c r="Y81" s="20"/>
      <c r="Z81" s="20"/>
      <c r="AA81" s="20"/>
      <c r="AB81" s="20"/>
    </row>
    <row r="82" spans="2:28" customFormat="1">
      <c r="B82" s="13"/>
      <c r="C82" s="13"/>
      <c r="D82" s="9"/>
      <c r="E82" s="10"/>
      <c r="F82" s="10"/>
      <c r="G82" s="10"/>
      <c r="H82" s="9"/>
      <c r="I82" s="1" t="s">
        <v>88</v>
      </c>
      <c r="J82" s="7"/>
      <c r="K82" s="8"/>
      <c r="L82" s="9"/>
      <c r="M82" s="9"/>
      <c r="N82" s="9"/>
      <c r="O82" s="9"/>
      <c r="P82" s="9"/>
      <c r="Q82" s="9"/>
      <c r="R82" s="9"/>
      <c r="S82" s="9"/>
      <c r="T82" s="7"/>
      <c r="U82" s="9"/>
      <c r="V82" s="9"/>
      <c r="W82" s="10"/>
      <c r="X82" s="10"/>
      <c r="Y82" s="20"/>
      <c r="Z82" s="20"/>
      <c r="AA82" s="20"/>
      <c r="AB82" s="20"/>
    </row>
    <row r="83" spans="2:28" customFormat="1">
      <c r="B83" s="13"/>
      <c r="C83" s="14" t="s">
        <v>25</v>
      </c>
      <c r="D83" s="10"/>
      <c r="E83" s="40"/>
      <c r="F83" s="40"/>
      <c r="G83" s="10"/>
      <c r="H83" s="5" t="s">
        <v>5</v>
      </c>
      <c r="I83" s="1" t="s">
        <v>89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10"/>
      <c r="Y83" s="20"/>
      <c r="Z83" s="20"/>
      <c r="AA83" s="20"/>
      <c r="AB83" s="20"/>
    </row>
    <row r="84" spans="2:28" customFormat="1">
      <c r="B84" s="13"/>
      <c r="C84" s="13"/>
      <c r="D84" s="9"/>
      <c r="E84" s="10"/>
      <c r="F84" s="10"/>
      <c r="G84" s="10"/>
      <c r="H84" s="9"/>
      <c r="I84" s="1" t="s">
        <v>87</v>
      </c>
      <c r="J84" s="7"/>
      <c r="K84" s="9"/>
      <c r="L84" s="9"/>
      <c r="M84" s="9"/>
      <c r="N84" s="9"/>
      <c r="O84" s="9"/>
      <c r="P84" s="9"/>
      <c r="Q84" s="9"/>
      <c r="R84" s="9"/>
      <c r="S84" s="9"/>
      <c r="T84" s="7"/>
      <c r="U84" s="9"/>
      <c r="V84" s="9"/>
      <c r="W84" s="10"/>
      <c r="X84" s="10"/>
      <c r="Y84" s="20"/>
      <c r="Z84" s="20"/>
      <c r="AA84" s="20"/>
      <c r="AB84" s="20"/>
    </row>
    <row r="85" spans="2:28" customFormat="1">
      <c r="B85" s="10"/>
      <c r="C85" s="10"/>
      <c r="D85" s="9"/>
      <c r="E85" s="10"/>
      <c r="F85" s="10"/>
      <c r="G85" s="10"/>
      <c r="H85" s="9"/>
      <c r="I85" s="1" t="s">
        <v>88</v>
      </c>
      <c r="J85" s="7"/>
      <c r="K85" s="8"/>
      <c r="L85" s="9"/>
      <c r="M85" s="9"/>
      <c r="N85" s="9"/>
      <c r="O85" s="9"/>
      <c r="P85" s="9"/>
      <c r="Q85" s="9"/>
      <c r="R85" s="9"/>
      <c r="S85" s="9"/>
      <c r="T85" s="7"/>
      <c r="U85" s="9"/>
      <c r="V85" s="9"/>
      <c r="W85" s="10"/>
      <c r="X85" s="10"/>
      <c r="Y85" s="10"/>
      <c r="Z85" s="10"/>
      <c r="AA85" s="10"/>
      <c r="AB85" s="10"/>
    </row>
  </sheetData>
  <mergeCells count="39"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E80:F80"/>
    <mergeCell ref="AA12:AB12"/>
    <mergeCell ref="C48:W48"/>
    <mergeCell ref="C51:W51"/>
    <mergeCell ref="C54:W54"/>
    <mergeCell ref="E12:F12"/>
    <mergeCell ref="E15:F15"/>
    <mergeCell ref="E18:F18"/>
    <mergeCell ref="E21:F21"/>
    <mergeCell ref="E83:F83"/>
    <mergeCell ref="K4:M4"/>
    <mergeCell ref="I8:K8"/>
    <mergeCell ref="I10:K10"/>
    <mergeCell ref="D59:X59"/>
    <mergeCell ref="D61:X61"/>
    <mergeCell ref="E24:F24"/>
    <mergeCell ref="E27:F27"/>
    <mergeCell ref="D63:X63"/>
    <mergeCell ref="D65:X65"/>
    <mergeCell ref="D67:X67"/>
    <mergeCell ref="B69:X69"/>
    <mergeCell ref="B70:AE70"/>
    <mergeCell ref="E71:F71"/>
    <mergeCell ref="E74:F74"/>
    <mergeCell ref="E77:F77"/>
  </mergeCells>
  <phoneticPr fontId="1"/>
  <conditionalFormatting sqref="E4:F4">
    <cfRule type="containsBlanks" dxfId="39" priority="31">
      <formula>LEN(TRIM(E4))=0</formula>
    </cfRule>
  </conditionalFormatting>
  <conditionalFormatting sqref="E6:F6">
    <cfRule type="containsBlanks" dxfId="38" priority="30">
      <formula>LEN(TRIM(E6))=0</formula>
    </cfRule>
  </conditionalFormatting>
  <conditionalFormatting sqref="E8:F8">
    <cfRule type="containsBlanks" dxfId="37" priority="29">
      <formula>LEN(TRIM(E8))=0</formula>
    </cfRule>
  </conditionalFormatting>
  <conditionalFormatting sqref="E10:F10">
    <cfRule type="containsBlanks" dxfId="36" priority="28">
      <formula>LEN(TRIM(E10))=0</formula>
    </cfRule>
  </conditionalFormatting>
  <conditionalFormatting sqref="E12:F12">
    <cfRule type="containsBlanks" dxfId="35" priority="27">
      <formula>LEN(TRIM(E12))=0</formula>
    </cfRule>
  </conditionalFormatting>
  <conditionalFormatting sqref="E15:F15">
    <cfRule type="containsBlanks" dxfId="34" priority="26">
      <formula>LEN(TRIM(E15))=0</formula>
    </cfRule>
  </conditionalFormatting>
  <conditionalFormatting sqref="E18:F18">
    <cfRule type="containsBlanks" dxfId="33" priority="25">
      <formula>LEN(TRIM(E18))=0</formula>
    </cfRule>
  </conditionalFormatting>
  <conditionalFormatting sqref="E21:F21">
    <cfRule type="containsBlanks" dxfId="32" priority="24">
      <formula>LEN(TRIM(E21))=0</formula>
    </cfRule>
  </conditionalFormatting>
  <conditionalFormatting sqref="E24:F24">
    <cfRule type="containsBlanks" dxfId="31" priority="23">
      <formula>LEN(TRIM(E24))=0</formula>
    </cfRule>
  </conditionalFormatting>
  <conditionalFormatting sqref="E27:F27">
    <cfRule type="containsBlanks" dxfId="30" priority="22">
      <formula>LEN(TRIM(E27))=0</formula>
    </cfRule>
  </conditionalFormatting>
  <conditionalFormatting sqref="E71:F71">
    <cfRule type="containsBlanks" dxfId="29" priority="21">
      <formula>LEN(TRIM(E71))=0</formula>
    </cfRule>
  </conditionalFormatting>
  <conditionalFormatting sqref="E74:F74">
    <cfRule type="containsBlanks" dxfId="28" priority="20">
      <formula>LEN(TRIM(E74))=0</formula>
    </cfRule>
  </conditionalFormatting>
  <conditionalFormatting sqref="E77:F77">
    <cfRule type="containsBlanks" dxfId="27" priority="19">
      <formula>LEN(TRIM(E77))=0</formula>
    </cfRule>
  </conditionalFormatting>
  <conditionalFormatting sqref="E80:F80">
    <cfRule type="containsBlanks" dxfId="26" priority="18">
      <formula>LEN(TRIM(E80))=0</formula>
    </cfRule>
  </conditionalFormatting>
  <conditionalFormatting sqref="E83:F83">
    <cfRule type="containsBlanks" dxfId="25" priority="17">
      <formula>LEN(TRIM(E83))=0</formula>
    </cfRule>
  </conditionalFormatting>
  <conditionalFormatting sqref="C33:W33">
    <cfRule type="containsBlanks" dxfId="24" priority="16">
      <formula>LEN(TRIM(C33))=0</formula>
    </cfRule>
  </conditionalFormatting>
  <conditionalFormatting sqref="C36:W36">
    <cfRule type="containsBlanks" dxfId="23" priority="15">
      <formula>LEN(TRIM(C36))=0</formula>
    </cfRule>
  </conditionalFormatting>
  <conditionalFormatting sqref="C39:W39">
    <cfRule type="containsBlanks" dxfId="22" priority="14">
      <formula>LEN(TRIM(C39))=0</formula>
    </cfRule>
  </conditionalFormatting>
  <conditionalFormatting sqref="C42:W42">
    <cfRule type="containsBlanks" dxfId="21" priority="13">
      <formula>LEN(TRIM(C42))=0</formula>
    </cfRule>
  </conditionalFormatting>
  <conditionalFormatting sqref="C45:W45">
    <cfRule type="containsBlanks" dxfId="20" priority="12">
      <formula>LEN(TRIM(C45))=0</formula>
    </cfRule>
  </conditionalFormatting>
  <conditionalFormatting sqref="C48:W48">
    <cfRule type="containsBlanks" dxfId="19" priority="11">
      <formula>LEN(TRIM(C48))=0</formula>
    </cfRule>
  </conditionalFormatting>
  <conditionalFormatting sqref="C51:W51">
    <cfRule type="containsBlanks" dxfId="18" priority="10">
      <formula>LEN(TRIM(C51))=0</formula>
    </cfRule>
  </conditionalFormatting>
  <conditionalFormatting sqref="C54:W54">
    <cfRule type="containsBlanks" dxfId="17" priority="9">
      <formula>LEN(TRIM(C54))=0</formula>
    </cfRule>
  </conditionalFormatting>
  <conditionalFormatting sqref="D59:X59">
    <cfRule type="containsBlanks" dxfId="16" priority="8">
      <formula>LEN(TRIM(D59))=0</formula>
    </cfRule>
  </conditionalFormatting>
  <conditionalFormatting sqref="D61:X61">
    <cfRule type="containsBlanks" dxfId="15" priority="7">
      <formula>LEN(TRIM(D61))=0</formula>
    </cfRule>
  </conditionalFormatting>
  <conditionalFormatting sqref="D63:X63">
    <cfRule type="containsBlanks" dxfId="14" priority="6">
      <formula>LEN(TRIM(D63))=0</formula>
    </cfRule>
  </conditionalFormatting>
  <conditionalFormatting sqref="D65:X65">
    <cfRule type="containsBlanks" dxfId="13" priority="5">
      <formula>LEN(TRIM(D65))=0</formula>
    </cfRule>
  </conditionalFormatting>
  <conditionalFormatting sqref="D67:X67">
    <cfRule type="containsBlanks" dxfId="12" priority="4">
      <formula>LEN(TRIM(D67))=0</formula>
    </cfRule>
  </conditionalFormatting>
  <conditionalFormatting sqref="E2:J2">
    <cfRule type="containsBlanks" dxfId="11" priority="3">
      <formula>LEN(TRIM(E2))=0</formula>
    </cfRule>
  </conditionalFormatting>
  <conditionalFormatting sqref="L1:T1">
    <cfRule type="containsBlanks" dxfId="10" priority="2">
      <formula>LEN(TRIM(L1))=0</formula>
    </cfRule>
  </conditionalFormatting>
  <conditionalFormatting sqref="N2:U2">
    <cfRule type="containsBlanks" dxfId="9" priority="1">
      <formula>LEN(TRIM(N2))=0</formula>
    </cfRule>
  </conditionalFormatting>
  <dataValidations count="1">
    <dataValidation type="list" allowBlank="1" showInputMessage="1" showErrorMessage="1" sqref="E4:F4 E6:F6 E8:F8 E10:F10 E12:F12 E15:F15 E18:F18 E21:F21 E24:F24 E27:F27 E71:F71 E74:F74 E77:F77 E80:F80 E83:F83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4" zoomScale="115" zoomScaleNormal="115" workbookViewId="0">
      <selection activeCell="C40" sqref="C40"/>
    </sheetView>
  </sheetViews>
  <sheetFormatPr defaultRowHeight="13.5"/>
  <cols>
    <col min="1" max="1" width="2.625" style="36" customWidth="1"/>
    <col min="2" max="2" width="4.125" style="36" customWidth="1"/>
    <col min="3" max="3" width="71.625" style="36" customWidth="1"/>
    <col min="4" max="4" width="4.75" style="36" customWidth="1"/>
    <col min="5" max="5" width="41.75" style="36" customWidth="1"/>
    <col min="6" max="6" width="3.625" style="36" customWidth="1"/>
    <col min="7" max="16384" width="9" style="36"/>
  </cols>
  <sheetData>
    <row r="1" spans="1:32">
      <c r="A1" s="35"/>
      <c r="B1" s="35"/>
      <c r="C1" s="35" t="s">
        <v>21</v>
      </c>
      <c r="E1" s="35" t="s">
        <v>20</v>
      </c>
      <c r="F1" s="35"/>
      <c r="G1" s="35" t="s">
        <v>19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>
      <c r="A2" s="35"/>
      <c r="B2" s="37" t="s">
        <v>18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>
      <c r="A3" s="35"/>
      <c r="B3" s="36">
        <v>1</v>
      </c>
      <c r="C3" s="37">
        <f>'1'!E4</f>
        <v>0</v>
      </c>
      <c r="D3" s="35"/>
      <c r="E3" s="35">
        <v>1</v>
      </c>
      <c r="F3" s="35"/>
      <c r="G3" s="38">
        <f>IF(C3=E3,3,0)</f>
        <v>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>
      <c r="A4" s="35"/>
      <c r="B4" s="36">
        <v>2</v>
      </c>
      <c r="C4" s="37">
        <f>'1'!E6</f>
        <v>0</v>
      </c>
      <c r="D4" s="35"/>
      <c r="E4" s="35">
        <v>2</v>
      </c>
      <c r="F4" s="35"/>
      <c r="G4" s="38">
        <f t="shared" ref="G4:G7" si="0">IF(C4=E4,3,0)</f>
        <v>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>
      <c r="A5" s="35"/>
      <c r="B5" s="36">
        <v>3</v>
      </c>
      <c r="C5" s="37">
        <f>'1'!E8</f>
        <v>0</v>
      </c>
      <c r="D5" s="35"/>
      <c r="E5" s="35">
        <v>4</v>
      </c>
      <c r="F5" s="35"/>
      <c r="G5" s="38">
        <f t="shared" si="0"/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>
      <c r="A6" s="35"/>
      <c r="B6" s="36">
        <v>4</v>
      </c>
      <c r="C6" s="37">
        <f>'1'!E10</f>
        <v>0</v>
      </c>
      <c r="D6" s="35"/>
      <c r="E6" s="35">
        <v>3</v>
      </c>
      <c r="F6" s="35"/>
      <c r="G6" s="38">
        <f t="shared" si="0"/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>
      <c r="A7" s="35"/>
      <c r="B7" s="36">
        <v>5</v>
      </c>
      <c r="C7" s="37">
        <f>'1'!E12</f>
        <v>0</v>
      </c>
      <c r="D7" s="35"/>
      <c r="E7" s="35">
        <v>3</v>
      </c>
      <c r="F7" s="35"/>
      <c r="G7" s="38">
        <f t="shared" si="0"/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>
      <c r="A8" s="35"/>
      <c r="B8" s="37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>
      <c r="A9" s="35"/>
      <c r="B9" s="37" t="s">
        <v>17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>
      <c r="A10" s="35"/>
      <c r="B10" s="37">
        <v>1</v>
      </c>
      <c r="C10" s="35">
        <f>'1'!E15</f>
        <v>0</v>
      </c>
      <c r="D10" s="35"/>
      <c r="E10" s="35">
        <v>2</v>
      </c>
      <c r="F10" s="35"/>
      <c r="G10" s="38">
        <f>IF(C10=E10,3,0)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>
      <c r="A11" s="35"/>
      <c r="B11" s="37">
        <v>2</v>
      </c>
      <c r="C11" s="35">
        <f>'1'!E18</f>
        <v>0</v>
      </c>
      <c r="D11" s="35"/>
      <c r="E11" s="35">
        <v>2</v>
      </c>
      <c r="F11" s="35"/>
      <c r="G11" s="38">
        <f>IF(C11=E11,3,0)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>
      <c r="A12" s="35"/>
      <c r="B12" s="37">
        <v>3</v>
      </c>
      <c r="C12" s="35">
        <f>'1'!E21</f>
        <v>0</v>
      </c>
      <c r="D12" s="35"/>
      <c r="E12" s="35">
        <v>4</v>
      </c>
      <c r="F12" s="35"/>
      <c r="G12" s="38">
        <f>IF(C12=E12,3,0)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>
      <c r="A13" s="35"/>
      <c r="B13" s="37">
        <v>4</v>
      </c>
      <c r="C13" s="35">
        <f>'1'!E24</f>
        <v>0</v>
      </c>
      <c r="D13" s="35"/>
      <c r="E13" s="35">
        <v>2</v>
      </c>
      <c r="F13" s="35"/>
      <c r="G13" s="38">
        <f>IF(C13=E13,3,0)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>
      <c r="A14" s="35"/>
      <c r="B14" s="37">
        <v>5</v>
      </c>
      <c r="C14" s="35">
        <f>'1'!E27</f>
        <v>0</v>
      </c>
      <c r="D14" s="35"/>
      <c r="E14" s="35">
        <v>3</v>
      </c>
      <c r="F14" s="35"/>
      <c r="G14" s="38">
        <f>IF(C14=E14,3,0)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>
      <c r="A15" s="35"/>
      <c r="B15" s="37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>
      <c r="A16" s="35"/>
      <c r="B16" s="37" t="s">
        <v>16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>
      <c r="A17" s="35"/>
      <c r="B17" s="37">
        <v>1</v>
      </c>
      <c r="C17" s="35">
        <f>'1'!C33</f>
        <v>0</v>
      </c>
      <c r="D17" s="35"/>
      <c r="E17" s="35" t="s">
        <v>90</v>
      </c>
      <c r="F17" s="35"/>
      <c r="G17" s="38">
        <f>IF(C17=E17,5,0)</f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>
      <c r="A18" s="35"/>
      <c r="B18" s="37">
        <v>2</v>
      </c>
      <c r="C18" s="35">
        <f>'1'!C36</f>
        <v>0</v>
      </c>
      <c r="D18" s="35"/>
      <c r="E18" s="35" t="s">
        <v>91</v>
      </c>
      <c r="F18" s="35"/>
      <c r="G18" s="38">
        <f>IF(OR(C18=E18,C18=I18)=TRUE,5,0)</f>
        <v>0</v>
      </c>
      <c r="H18" s="35"/>
      <c r="I18" s="35" t="s">
        <v>92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>
      <c r="A19" s="35"/>
      <c r="B19" s="37">
        <v>3</v>
      </c>
      <c r="C19" s="35">
        <f>'1'!C39</f>
        <v>0</v>
      </c>
      <c r="D19" s="35"/>
      <c r="E19" s="35" t="s">
        <v>93</v>
      </c>
      <c r="F19" s="35"/>
      <c r="G19" s="38">
        <f t="shared" ref="G19:G24" si="1">IF(C19=E19,5,0)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>
      <c r="A20" s="35"/>
      <c r="B20" s="37">
        <v>4</v>
      </c>
      <c r="C20" s="35">
        <f>'1'!C42</f>
        <v>0</v>
      </c>
      <c r="D20" s="35"/>
      <c r="E20" s="35" t="s">
        <v>94</v>
      </c>
      <c r="F20" s="35"/>
      <c r="G20" s="38">
        <f>IF(OR(C20=E20,C20=I20)=TRUE,5,0)</f>
        <v>0</v>
      </c>
      <c r="H20" s="35"/>
      <c r="I20" s="35" t="s">
        <v>95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>
      <c r="A21" s="35"/>
      <c r="B21" s="37">
        <v>5</v>
      </c>
      <c r="C21" s="35">
        <f>'1'!C45</f>
        <v>0</v>
      </c>
      <c r="D21" s="35"/>
      <c r="E21" s="35" t="s">
        <v>96</v>
      </c>
      <c r="F21" s="35"/>
      <c r="G21" s="38">
        <f t="shared" si="1"/>
        <v>0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>
      <c r="A22" s="35"/>
      <c r="B22" s="37">
        <v>6</v>
      </c>
      <c r="C22" s="35">
        <f>'1'!C48</f>
        <v>0</v>
      </c>
      <c r="D22" s="35"/>
      <c r="E22" s="35" t="s">
        <v>108</v>
      </c>
      <c r="F22" s="35"/>
      <c r="G22" s="38">
        <f t="shared" si="1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>
      <c r="A23" s="35"/>
      <c r="B23" s="37">
        <v>7</v>
      </c>
      <c r="C23" s="35">
        <f>'1'!C51</f>
        <v>0</v>
      </c>
      <c r="D23" s="35"/>
      <c r="E23" s="35" t="s">
        <v>97</v>
      </c>
      <c r="F23" s="35"/>
      <c r="G23" s="38">
        <f t="shared" si="1"/>
        <v>0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>
      <c r="A24" s="35"/>
      <c r="B24" s="37">
        <v>8</v>
      </c>
      <c r="C24" s="35">
        <f>'1'!C54</f>
        <v>0</v>
      </c>
      <c r="D24" s="35"/>
      <c r="E24" s="35" t="s">
        <v>98</v>
      </c>
      <c r="F24" s="35"/>
      <c r="G24" s="38">
        <f t="shared" si="1"/>
        <v>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>
      <c r="A25" s="35"/>
      <c r="B25" s="37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>
      <c r="A26" s="35"/>
      <c r="B26" s="37" t="s">
        <v>15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>
      <c r="A27" s="35"/>
      <c r="B27" s="39">
        <v>1</v>
      </c>
      <c r="C27" s="35">
        <f>'1'!D59</f>
        <v>0</v>
      </c>
      <c r="D27" s="35"/>
      <c r="E27" s="35" t="s">
        <v>99</v>
      </c>
      <c r="F27" s="35"/>
      <c r="G27" s="38">
        <f>IF(C27=E27,3,0)</f>
        <v>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>
      <c r="A28" s="35"/>
      <c r="B28" s="39">
        <v>2</v>
      </c>
      <c r="C28" s="35">
        <f>'1'!D61</f>
        <v>0</v>
      </c>
      <c r="D28" s="35"/>
      <c r="E28" s="35" t="s">
        <v>110</v>
      </c>
      <c r="F28" s="35"/>
      <c r="G28" s="38">
        <f t="shared" ref="G28:G31" si="2">IF(C28=E28,3,0)</f>
        <v>0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>
      <c r="A29" s="35"/>
      <c r="B29" s="39">
        <v>3</v>
      </c>
      <c r="C29" s="35">
        <f>'1'!D63</f>
        <v>0</v>
      </c>
      <c r="D29" s="35"/>
      <c r="E29" s="35" t="s">
        <v>100</v>
      </c>
      <c r="F29" s="35"/>
      <c r="G29" s="38">
        <f>IF(OR(C29=E29,C29=I29)=TRUE,3,0)</f>
        <v>0</v>
      </c>
      <c r="H29" s="35"/>
      <c r="I29" s="35" t="s">
        <v>101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>
      <c r="A30" s="35"/>
      <c r="B30" s="39">
        <v>4</v>
      </c>
      <c r="C30" s="35">
        <f>'1'!D65</f>
        <v>0</v>
      </c>
      <c r="D30" s="35"/>
      <c r="E30" s="35" t="s">
        <v>102</v>
      </c>
      <c r="F30" s="35"/>
      <c r="G30" s="38">
        <f t="shared" si="2"/>
        <v>0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>
      <c r="A31" s="35"/>
      <c r="B31" s="39">
        <v>5</v>
      </c>
      <c r="C31" s="35">
        <f>'1'!D67</f>
        <v>0</v>
      </c>
      <c r="D31" s="35"/>
      <c r="E31" s="35" t="s">
        <v>103</v>
      </c>
      <c r="F31" s="35"/>
      <c r="G31" s="38">
        <f t="shared" si="2"/>
        <v>0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>
      <c r="A33" s="35"/>
      <c r="B33" s="37" t="s">
        <v>23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>
      <c r="A34" s="35"/>
      <c r="B34" s="39">
        <v>1</v>
      </c>
      <c r="C34" s="35">
        <f>'1'!E71</f>
        <v>0</v>
      </c>
      <c r="D34" s="35"/>
      <c r="E34" s="35">
        <v>2</v>
      </c>
      <c r="F34" s="35"/>
      <c r="G34" s="38">
        <f>IF(C34=E34,3,0)</f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>
      <c r="A35" s="35"/>
      <c r="B35" s="39">
        <v>2</v>
      </c>
      <c r="C35" s="35">
        <f>'1'!E74</f>
        <v>0</v>
      </c>
      <c r="D35" s="35"/>
      <c r="E35" s="35">
        <v>4</v>
      </c>
      <c r="F35" s="35"/>
      <c r="G35" s="38">
        <f t="shared" ref="G35:G38" si="3">IF(C35=E35,3,0)</f>
        <v>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>
      <c r="A36" s="35"/>
      <c r="B36" s="39">
        <v>3</v>
      </c>
      <c r="C36" s="35">
        <f>'1'!E77</f>
        <v>0</v>
      </c>
      <c r="D36" s="35"/>
      <c r="E36" s="35">
        <v>3</v>
      </c>
      <c r="F36" s="35"/>
      <c r="G36" s="38">
        <f t="shared" si="3"/>
        <v>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>
      <c r="A37" s="35"/>
      <c r="B37" s="39">
        <v>4</v>
      </c>
      <c r="C37" s="35">
        <f>'1'!E80</f>
        <v>0</v>
      </c>
      <c r="D37" s="35"/>
      <c r="E37" s="35">
        <v>3</v>
      </c>
      <c r="G37" s="38">
        <f t="shared" si="3"/>
        <v>0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>
      <c r="A38" s="35"/>
      <c r="B38" s="39">
        <v>5</v>
      </c>
      <c r="C38" s="35">
        <f>'1'!E83</f>
        <v>0</v>
      </c>
      <c r="D38" s="35"/>
      <c r="E38" s="35">
        <v>4</v>
      </c>
      <c r="F38" s="35"/>
      <c r="G38" s="38">
        <f t="shared" si="3"/>
        <v>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6" spans="1:32">
      <c r="E46" s="35" t="s">
        <v>14</v>
      </c>
      <c r="F46" s="35"/>
      <c r="G46" s="35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8" priority="8" operator="equal">
      <formula>0</formula>
    </cfRule>
  </conditionalFormatting>
  <conditionalFormatting sqref="G10:G14">
    <cfRule type="cellIs" dxfId="7" priority="7" operator="equal">
      <formula>0</formula>
    </cfRule>
  </conditionalFormatting>
  <conditionalFormatting sqref="G17 G19 G21:G24">
    <cfRule type="cellIs" dxfId="6" priority="6" operator="equal">
      <formula>0</formula>
    </cfRule>
  </conditionalFormatting>
  <conditionalFormatting sqref="G27:G28 G30:G31">
    <cfRule type="cellIs" dxfId="5" priority="5" operator="equal">
      <formula>0</formula>
    </cfRule>
  </conditionalFormatting>
  <conditionalFormatting sqref="G34:G38">
    <cfRule type="cellIs" dxfId="4" priority="4" operator="equal">
      <formula>0</formula>
    </cfRule>
  </conditionalFormatting>
  <conditionalFormatting sqref="G18">
    <cfRule type="cellIs" dxfId="3" priority="3" operator="equal">
      <formula>0</formula>
    </cfRule>
  </conditionalFormatting>
  <conditionalFormatting sqref="G20">
    <cfRule type="cellIs" dxfId="2" priority="2" operator="equal">
      <formula>0</formula>
    </cfRule>
  </conditionalFormatting>
  <conditionalFormatting sqref="G29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topLeftCell="A4" workbookViewId="0">
      <selection activeCell="L5" sqref="L5"/>
    </sheetView>
  </sheetViews>
  <sheetFormatPr defaultRowHeight="13.5"/>
  <cols>
    <col min="7" max="7" width="4.125" customWidth="1"/>
  </cols>
  <sheetData>
    <row r="1" spans="2:8">
      <c r="G1" s="26"/>
    </row>
    <row r="2" spans="2:8">
      <c r="B2" t="s">
        <v>104</v>
      </c>
      <c r="C2">
        <f>'1'!L1</f>
        <v>0</v>
      </c>
      <c r="H2" t="s">
        <v>107</v>
      </c>
    </row>
    <row r="3" spans="2:8">
      <c r="B3" t="s">
        <v>105</v>
      </c>
      <c r="C3">
        <f>'1'!N2</f>
        <v>0</v>
      </c>
      <c r="G3" s="28" t="s">
        <v>18</v>
      </c>
      <c r="H3" s="32">
        <v>0.15</v>
      </c>
    </row>
    <row r="4" spans="2:8">
      <c r="B4" t="s">
        <v>106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1" t="s">
        <v>22</v>
      </c>
      <c r="E6" s="29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8"/>
    </row>
    <row r="10" spans="2:8">
      <c r="G10" s="28" t="s">
        <v>17</v>
      </c>
      <c r="H10" s="32">
        <v>0.15</v>
      </c>
    </row>
    <row r="11" spans="2:8">
      <c r="G11" s="28">
        <v>1</v>
      </c>
      <c r="H11" t="str">
        <f>IF('2'!C10='2'!E10,"○","×")</f>
        <v>×</v>
      </c>
    </row>
    <row r="12" spans="2:8">
      <c r="G12" s="28">
        <v>2</v>
      </c>
      <c r="H12" t="str">
        <f>IF('2'!C11='2'!E11,"○","×")</f>
        <v>×</v>
      </c>
    </row>
    <row r="13" spans="2:8">
      <c r="G13" s="28">
        <v>3</v>
      </c>
      <c r="H13" t="str">
        <f>IF('2'!C12='2'!E12,"○","×")</f>
        <v>×</v>
      </c>
    </row>
    <row r="14" spans="2:8">
      <c r="G14" s="28">
        <v>4</v>
      </c>
      <c r="H14" t="str">
        <f>IF('2'!C13='2'!E13,"○","×")</f>
        <v>×</v>
      </c>
    </row>
    <row r="15" spans="2:8">
      <c r="G15" s="28">
        <v>5</v>
      </c>
      <c r="H15" t="str">
        <f>IF('2'!C14='2'!E14,"○","×")</f>
        <v>×</v>
      </c>
    </row>
    <row r="16" spans="2:8">
      <c r="G16" s="28"/>
    </row>
    <row r="17" spans="7:8">
      <c r="G17" s="28" t="s">
        <v>16</v>
      </c>
      <c r="H17" s="32">
        <v>0.4</v>
      </c>
    </row>
    <row r="18" spans="7:8">
      <c r="G18" s="28">
        <v>1</v>
      </c>
      <c r="H18" t="str">
        <f>IF('2'!C17='2'!E17,"○","×")</f>
        <v>×</v>
      </c>
    </row>
    <row r="19" spans="7:8">
      <c r="G19" s="28">
        <v>2</v>
      </c>
      <c r="H19" t="str">
        <f>IF('2'!C18='2'!E18,"○","×")</f>
        <v>×</v>
      </c>
    </row>
    <row r="20" spans="7:8">
      <c r="G20" s="28">
        <v>3</v>
      </c>
      <c r="H20" t="str">
        <f>IF('2'!C19='2'!E19,"○","×")</f>
        <v>×</v>
      </c>
    </row>
    <row r="21" spans="7:8">
      <c r="G21" s="28">
        <v>4</v>
      </c>
      <c r="H21" t="str">
        <f>IF('2'!C20='2'!E20,"○","×")</f>
        <v>×</v>
      </c>
    </row>
    <row r="22" spans="7:8">
      <c r="G22" s="28">
        <v>5</v>
      </c>
      <c r="H22" t="str">
        <f>IF('2'!C21='2'!E21,"○","×")</f>
        <v>×</v>
      </c>
    </row>
    <row r="23" spans="7:8">
      <c r="G23" s="28">
        <v>6</v>
      </c>
      <c r="H23" t="str">
        <f>IF('2'!C22='2'!E22,"○","×")</f>
        <v>×</v>
      </c>
    </row>
    <row r="24" spans="7:8">
      <c r="G24" s="28">
        <v>7</v>
      </c>
      <c r="H24" t="str">
        <f>IF('2'!C23='2'!E23,"○","×")</f>
        <v>×</v>
      </c>
    </row>
    <row r="25" spans="7:8">
      <c r="G25" s="28">
        <v>8</v>
      </c>
      <c r="H25" t="str">
        <f>IF('2'!C24='2'!E24,"○","×")</f>
        <v>×</v>
      </c>
    </row>
    <row r="26" spans="7:8">
      <c r="G26" s="28"/>
    </row>
    <row r="27" spans="7:8">
      <c r="G27" s="28" t="s">
        <v>15</v>
      </c>
      <c r="H27" s="32">
        <v>0.15</v>
      </c>
    </row>
    <row r="28" spans="7:8">
      <c r="G28" s="27">
        <v>1</v>
      </c>
      <c r="H28" t="str">
        <f>IF('2'!C27='2'!E27,"○","×")</f>
        <v>×</v>
      </c>
    </row>
    <row r="29" spans="7:8">
      <c r="G29" s="27">
        <v>2</v>
      </c>
      <c r="H29" t="str">
        <f>IF('2'!C28='2'!E28,"○","×")</f>
        <v>×</v>
      </c>
    </row>
    <row r="30" spans="7:8">
      <c r="G30" s="27">
        <v>3</v>
      </c>
      <c r="H30" t="str">
        <f>IF('2'!C29='2'!E29,"○","×")</f>
        <v>×</v>
      </c>
    </row>
    <row r="31" spans="7:8">
      <c r="G31" s="27">
        <v>4</v>
      </c>
      <c r="H31" t="str">
        <f>IF('2'!C30='2'!E30,"○","×")</f>
        <v>×</v>
      </c>
    </row>
    <row r="32" spans="7:8">
      <c r="G32" s="27">
        <v>5</v>
      </c>
      <c r="H32" t="str">
        <f>IF('2'!C31='2'!E31,"○","×")</f>
        <v>×</v>
      </c>
    </row>
    <row r="33" spans="7:8">
      <c r="G33" s="26"/>
    </row>
    <row r="34" spans="7:8">
      <c r="G34" s="28" t="s">
        <v>23</v>
      </c>
      <c r="H34" s="32">
        <v>0.15</v>
      </c>
    </row>
    <row r="35" spans="7:8">
      <c r="G35" s="27">
        <v>1</v>
      </c>
      <c r="H35" t="str">
        <f>IF('2'!C34='2'!E34,"○","×")</f>
        <v>×</v>
      </c>
    </row>
    <row r="36" spans="7:8">
      <c r="G36" s="27">
        <v>2</v>
      </c>
      <c r="H36" t="str">
        <f>IF('2'!C35='2'!E35,"○","×")</f>
        <v>×</v>
      </c>
    </row>
    <row r="37" spans="7:8">
      <c r="G37" s="27">
        <v>3</v>
      </c>
      <c r="H37" t="str">
        <f>IF('2'!C36='2'!E36,"○","×")</f>
        <v>×</v>
      </c>
    </row>
    <row r="38" spans="7:8">
      <c r="G38" s="27">
        <v>4</v>
      </c>
      <c r="H38" t="str">
        <f>IF('2'!C37='2'!E37,"○","×")</f>
        <v>×</v>
      </c>
    </row>
    <row r="39" spans="7:8">
      <c r="G39" s="27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ED6CD-A6B8-469D-AFAF-E0200646B7AB}"/>
</file>

<file path=customXml/itemProps2.xml><?xml version="1.0" encoding="utf-8"?>
<ds:datastoreItem xmlns:ds="http://schemas.openxmlformats.org/officeDocument/2006/customXml" ds:itemID="{01F87131-1F44-4A0B-B286-E58F2D8FC7FA}"/>
</file>

<file path=customXml/itemProps3.xml><?xml version="1.0" encoding="utf-8"?>
<ds:datastoreItem xmlns:ds="http://schemas.openxmlformats.org/officeDocument/2006/customXml" ds:itemID="{59D14922-5F69-479F-A6E8-5A7944F70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