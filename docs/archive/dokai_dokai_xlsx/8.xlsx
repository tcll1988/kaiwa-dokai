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C4" i="3"/>
  <c r="C3"/>
  <c r="C2"/>
  <c r="H5" l="1"/>
  <c r="H6"/>
  <c r="H7"/>
  <c r="H8"/>
  <c r="H11"/>
  <c r="H12"/>
  <c r="H13"/>
  <c r="H14"/>
  <c r="H15"/>
  <c r="H18"/>
  <c r="H19"/>
  <c r="H20"/>
  <c r="H21"/>
  <c r="H22"/>
  <c r="H23"/>
  <c r="H24"/>
  <c r="H25"/>
  <c r="H28"/>
  <c r="H29"/>
  <c r="H31"/>
  <c r="H32"/>
  <c r="H35"/>
  <c r="H36"/>
  <c r="H37"/>
  <c r="H38"/>
  <c r="H39"/>
  <c r="G36" i="4" l="1"/>
  <c r="G35"/>
  <c r="G34"/>
  <c r="C38"/>
  <c r="G38" s="1"/>
  <c r="C37"/>
  <c r="G37" s="1"/>
  <c r="C36"/>
  <c r="C35"/>
  <c r="C34"/>
  <c r="C31"/>
  <c r="G31" s="1"/>
  <c r="C30"/>
  <c r="G30" s="1"/>
  <c r="C29"/>
  <c r="C28"/>
  <c r="G28" s="1"/>
  <c r="C27"/>
  <c r="G27" s="1"/>
  <c r="C24"/>
  <c r="C23"/>
  <c r="G23" s="1"/>
  <c r="C22"/>
  <c r="G22" s="1"/>
  <c r="C21"/>
  <c r="C20"/>
  <c r="G20" s="1"/>
  <c r="C19"/>
  <c r="C18"/>
  <c r="C17"/>
  <c r="G4"/>
  <c r="G5"/>
  <c r="G6"/>
  <c r="G7"/>
  <c r="C14"/>
  <c r="G14" s="1"/>
  <c r="C13"/>
  <c r="G13" s="1"/>
  <c r="C12"/>
  <c r="G12" s="1"/>
  <c r="C11"/>
  <c r="C10"/>
  <c r="C7"/>
  <c r="C6"/>
  <c r="C5"/>
  <c r="C4"/>
  <c r="C3"/>
  <c r="H4" i="3" s="1"/>
  <c r="G10" i="4"/>
  <c r="G11"/>
  <c r="G17"/>
  <c r="G18"/>
  <c r="G19"/>
  <c r="G21"/>
  <c r="G24"/>
  <c r="G29" l="1"/>
  <c r="H30" i="3"/>
  <c r="G3" i="4"/>
  <c r="G46" s="1"/>
  <c r="E6" i="3" s="1"/>
</calcChain>
</file>

<file path=xl/sharedStrings.xml><?xml version="1.0" encoding="utf-8"?>
<sst xmlns="http://schemas.openxmlformats.org/spreadsheetml/2006/main" count="151" uniqueCount="110">
  <si>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</si>
  <si>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</si>
  <si>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</si>
  <si>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 呢 2) 吗 3) 吧 4) 没</t>
    <phoneticPr fontId="1"/>
  </si>
  <si>
    <t>①</t>
  </si>
  <si>
    <t>①</t>
    <phoneticPr fontId="1"/>
  </si>
  <si>
    <t>②</t>
  </si>
  <si>
    <t>②</t>
    <phoneticPr fontId="1"/>
  </si>
  <si>
    <t>③</t>
    <phoneticPr fontId="1"/>
  </si>
  <si>
    <t>④</t>
    <phoneticPr fontId="1"/>
  </si>
  <si>
    <t>⑤</t>
  </si>
  <si>
    <t>⑤</t>
    <phoneticPr fontId="1"/>
  </si>
  <si>
    <t>問題2 日本語の意味として正しい中国語を1)～4)の中から1つ選びなさい。</t>
    <rPh sb="0" eb="2">
      <t>モンダイ</t>
    </rPh>
    <phoneticPr fontId="1"/>
  </si>
  <si>
    <t>私に生活が慣れたかどうかを聞いた。</t>
  </si>
  <si>
    <t>君に美味しい料理を作ってやろう。</t>
  </si>
  <si>
    <t>私はその日ほんとうに幸せだと感じた。</t>
  </si>
  <si>
    <t>テーブルを囲んで一緒に食事をする。</t>
  </si>
  <si>
    <t>彼女は何度も尋ねた。</t>
  </si>
  <si>
    <t>問題3 次の日本語の意味に従って、言葉を並べ替えなさい。</t>
    <rPh sb="0" eb="2">
      <t>モンダイ</t>
    </rPh>
    <phoneticPr fontId="1"/>
  </si>
  <si>
    <t>私が帰ってきたのを見て、母と父はすごく嬉しかった。</t>
  </si>
  <si>
    <t>回来  妈妈  爸爸  我  坏了  看到  高兴  和  了</t>
  </si>
  <si>
    <t>彼らは私の手をひぱってあれこれと聞いた。</t>
  </si>
  <si>
    <t>拉着  问  问  他们  我  这  那  的  手</t>
  </si>
  <si>
    <t>お母さんは美味しい料理をたくさん作ってくれた。</t>
  </si>
  <si>
    <t>好吃  做  给  了  我  妈妈  很多  的  菜</t>
  </si>
  <si>
    <t>夏休みはすでに終わった。私はまだ名古屋に戻ってきた。</t>
  </si>
  <si>
    <t xml:space="preserve">回到了  结束  又  我  已经  名古屋  暑假  了 </t>
  </si>
  <si>
    <t>私は家族の人と一緒に会話をする事をとても幸せだと思う｡</t>
  </si>
  <si>
    <t>幸福  家里人  聊天儿  很  和  觉得  一起  我</t>
  </si>
  <si>
    <t>⑥</t>
  </si>
  <si>
    <t>弟が帰って来たのを見ると、私は嬉しくてたまらなかった。</t>
  </si>
  <si>
    <t>极了  看到  回来  我  弟弟  了  高兴</t>
  </si>
  <si>
    <t>⑦</t>
  </si>
  <si>
    <t>私は大学の生活はいかがなのかと弟に聞いた。</t>
  </si>
  <si>
    <t>弟弟   我  生活  问  的  怎么样  大学</t>
  </si>
  <si>
    <t>⑧</t>
  </si>
  <si>
    <t>今年の夏休みに貴方は北京へ行ったか。</t>
  </si>
  <si>
    <t>暑假  北京  你  了  去  今年  没有</t>
  </si>
  <si>
    <t>問題4 下の中国語の誤りを訂正しなさい。</t>
    <rPh sb="0" eb="2">
      <t>モンダイ</t>
    </rPh>
    <phoneticPr fontId="1"/>
  </si>
  <si>
    <t>我给弟弟买很多好吃的点心了。</t>
  </si>
  <si>
    <t>妈妈问了一遍也一遍。</t>
  </si>
  <si>
    <t>大学的生活已经结束。</t>
  </si>
  <si>
    <t>奶奶问我一个人的生活习惯没习惯。</t>
  </si>
  <si>
    <t>爷爷拉我的手问那问这。</t>
  </si>
  <si>
    <t>今天是几月几号？</t>
  </si>
  <si>
    <t>我从家里出来几个月了？</t>
  </si>
  <si>
    <t>我家有几口人？</t>
  </si>
  <si>
    <t>我几月几号回家？</t>
  </si>
  <si>
    <t>以前，我觉得中文有意思吗？</t>
  </si>
  <si>
    <t>読解第8課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</si>
  <si>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</si>
  <si>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</si>
  <si>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去北京？</t>
    <phoneticPr fontId="1"/>
  </si>
  <si>
    <t>他是日本人</t>
    <phoneticPr fontId="1"/>
  </si>
  <si>
    <t>我想她一定是日本人</t>
    <phoneticPr fontId="1"/>
  </si>
  <si>
    <t>1) 问我习惯不习惯生活。 2) 我问习惯不习惯生活。</t>
  </si>
  <si>
    <t>3) 问我生活习惯不习惯。 4) 我不问习惯生活习惯。</t>
  </si>
  <si>
    <t>1) 我给做好吃的菜你。  2) 你给我做好吃的菜。</t>
  </si>
  <si>
    <t>3) 我给你好吃的菜做。  4) 我给你做好吃的菜。</t>
  </si>
  <si>
    <t>1) 我觉得那天真幸福。  2) 我觉得真幸福那天。</t>
  </si>
  <si>
    <t>3) 我真觉得幸福那天。  4) 我真觉得那天幸福。</t>
  </si>
  <si>
    <t>1) 围着一起桌子吃饭。  2) 围着桌子一起吃饭。</t>
  </si>
  <si>
    <t>3) 一起吃饭围着桌子。  4) 桌子围着一起吃饭。</t>
  </si>
  <si>
    <t>1) 问了一遍又一遍她。  2) 她又问了一遍一遍。</t>
  </si>
  <si>
    <t>3) 她问一遍又一遍了。  4) 她问了一遍又一遍。</t>
  </si>
  <si>
    <t>3) 七月三十号 4) 七月三十一号</t>
  </si>
  <si>
    <t>1) 两个月  2) 三个月</t>
  </si>
  <si>
    <t>3) 四个月  4) 五个月</t>
  </si>
  <si>
    <t>1) 八月一号　 　 2) 八月二号</t>
    <phoneticPr fontId="1"/>
  </si>
  <si>
    <t>3) 七月三十号    4) 七月三十一号</t>
    <phoneticPr fontId="1"/>
  </si>
  <si>
    <t>1) 五口人  2) 六口人</t>
  </si>
  <si>
    <t>3) 七口人  4) 八口人</t>
  </si>
  <si>
    <t>1) 八月一号   2) 八月二号</t>
    <phoneticPr fontId="1"/>
  </si>
  <si>
    <t>1) 没有意思  2) 有意思</t>
  </si>
  <si>
    <t>3) 很有意思  4) 不知道</t>
    <phoneticPr fontId="1"/>
  </si>
  <si>
    <t>。</t>
    <phoneticPr fontId="1"/>
  </si>
  <si>
    <r>
      <t>暑假你打算去</t>
    </r>
    <r>
      <rPr>
        <u/>
        <sz val="12"/>
        <color theme="1"/>
        <rFont val="SimSun"/>
        <family val="3"/>
        <charset val="134"/>
      </rPr>
      <t>哪儿</t>
    </r>
    <r>
      <rPr>
        <sz val="12"/>
        <color theme="1"/>
        <rFont val="SimSun"/>
        <family val="3"/>
        <charset val="134"/>
      </rPr>
      <t>（</t>
    </r>
    <r>
      <rPr>
        <b/>
        <sz val="12"/>
        <color theme="1"/>
        <rFont val="ＭＳ 明朝"/>
        <family val="1"/>
        <charset val="128"/>
      </rPr>
      <t>どこ</t>
    </r>
    <r>
      <rPr>
        <sz val="12"/>
        <color theme="1"/>
        <rFont val="SimSun"/>
        <family val="3"/>
        <charset val="134"/>
      </rPr>
      <t>）旅行</t>
    </r>
    <phoneticPr fontId="1"/>
  </si>
  <si>
    <r>
      <t>你太累了，好好儿休息</t>
    </r>
    <r>
      <rPr>
        <u/>
        <sz val="12"/>
        <color theme="1"/>
        <rFont val="SimSun"/>
        <family val="3"/>
        <charset val="134"/>
      </rPr>
      <t xml:space="preserve"> </t>
    </r>
    <phoneticPr fontId="1"/>
  </si>
  <si>
    <r>
      <t>你去</t>
    </r>
    <r>
      <rPr>
        <u/>
        <sz val="12"/>
        <color theme="1"/>
        <rFont val="SimSun"/>
        <family val="3"/>
        <charset val="134"/>
      </rPr>
      <t xml:space="preserve">    </t>
    </r>
    <phoneticPr fontId="1"/>
  </si>
  <si>
    <t>問題1穴埋め問題の回答として、正しい中国語を1)～4)の中から1つ選びなさい。</t>
    <rPh sb="0" eb="2">
      <t>モンダイ</t>
    </rPh>
    <phoneticPr fontId="1"/>
  </si>
  <si>
    <t>？</t>
    <phoneticPr fontId="1"/>
  </si>
  <si>
    <t>。</t>
    <phoneticPr fontId="1"/>
  </si>
  <si>
    <t>　　今天是星期六，明天就要到八月了。三月底从家出来上大学，一次也没回过家。我很想家里人，想爸爸和妈妈，想爷爷，想哥哥和姐姐。开始学中文时，觉得中文一点儿也没有意思，可后来觉得中文越学越有意思。我现在很喜欢学中文。明天我就要回家了，我想告诉家里人我的大学生活。</t>
    <phoneticPr fontId="1"/>
  </si>
  <si>
    <t>合計</t>
    <phoneticPr fontId="14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</si>
  <si>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</si>
  <si>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</si>
  <si>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</si>
  <si>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</si>
  <si>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4" type="noConversion"/>
  </si>
  <si>
    <t>回答</t>
    <phoneticPr fontId="14" type="noConversion"/>
  </si>
  <si>
    <t>成績</t>
    <phoneticPr fontId="14" type="noConversion"/>
  </si>
  <si>
    <t>問5　</t>
    <rPh sb="0" eb="1">
      <t>モン</t>
    </rPh>
    <phoneticPr fontId="1"/>
  </si>
  <si>
    <t>日付</t>
    <phoneticPr fontId="14" type="noConversion"/>
  </si>
  <si>
    <t>学籍番号</t>
    <phoneticPr fontId="14" type="noConversion"/>
  </si>
  <si>
    <t>名前</t>
    <phoneticPr fontId="14" type="noConversion"/>
  </si>
  <si>
    <t>判定</t>
    <phoneticPr fontId="14" type="noConversion"/>
  </si>
  <si>
    <t>正解</t>
    <phoneticPr fontId="14" type="noConversion"/>
  </si>
  <si>
    <t>今年暑假你去北京了没有？</t>
    <phoneticPr fontId="14" type="noConversion"/>
  </si>
  <si>
    <r>
      <t>看到我回来了，爸爸和</t>
    </r>
    <r>
      <rPr>
        <sz val="11"/>
        <rFont val="ＭＳ Ｐゴシック"/>
        <family val="3"/>
        <charset val="134"/>
        <scheme val="minor"/>
      </rPr>
      <t>妈妈</t>
    </r>
    <r>
      <rPr>
        <sz val="11"/>
        <rFont val="ＭＳ Ｐゴシック"/>
        <family val="2"/>
        <scheme val="minor"/>
      </rPr>
      <t>高</t>
    </r>
    <r>
      <rPr>
        <sz val="11"/>
        <rFont val="ＭＳ Ｐゴシック"/>
        <family val="3"/>
        <charset val="134"/>
        <scheme val="minor"/>
      </rPr>
      <t>兴</t>
    </r>
    <r>
      <rPr>
        <sz val="11"/>
        <rFont val="ＭＳ Ｐゴシック"/>
        <family val="2"/>
        <scheme val="minor"/>
      </rPr>
      <t>坏了。</t>
    </r>
    <phoneticPr fontId="14" type="noConversion"/>
  </si>
  <si>
    <r>
      <t>他</t>
    </r>
    <r>
      <rPr>
        <sz val="11"/>
        <rFont val="ＭＳ Ｐゴシック"/>
        <family val="3"/>
        <charset val="134"/>
        <scheme val="minor"/>
      </rPr>
      <t>们</t>
    </r>
    <r>
      <rPr>
        <sz val="11"/>
        <rFont val="ＭＳ Ｐゴシック"/>
        <family val="2"/>
        <scheme val="minor"/>
      </rPr>
      <t>拉着我的手</t>
    </r>
    <r>
      <rPr>
        <sz val="11"/>
        <rFont val="ＭＳ Ｐゴシック"/>
        <family val="3"/>
        <charset val="134"/>
        <scheme val="minor"/>
      </rPr>
      <t>问这问</t>
    </r>
    <r>
      <rPr>
        <sz val="11"/>
        <rFont val="ＭＳ Ｐゴシック"/>
        <family val="2"/>
        <scheme val="minor"/>
      </rPr>
      <t>那。</t>
    </r>
    <phoneticPr fontId="14" type="noConversion"/>
  </si>
  <si>
    <r>
      <rPr>
        <sz val="11"/>
        <rFont val="ＭＳ Ｐゴシック"/>
        <family val="3"/>
        <charset val="134"/>
        <scheme val="minor"/>
      </rPr>
      <t>妈妈给</t>
    </r>
    <r>
      <rPr>
        <sz val="11"/>
        <rFont val="ＭＳ Ｐゴシック"/>
        <family val="2"/>
        <scheme val="minor"/>
      </rPr>
      <t>我做了很多好吃的菜。</t>
    </r>
    <phoneticPr fontId="14" type="noConversion"/>
  </si>
  <si>
    <r>
      <t>暑假已</t>
    </r>
    <r>
      <rPr>
        <sz val="11"/>
        <rFont val="ＭＳ Ｐゴシック"/>
        <family val="3"/>
        <charset val="134"/>
        <scheme val="minor"/>
      </rPr>
      <t>经结</t>
    </r>
    <r>
      <rPr>
        <sz val="11"/>
        <rFont val="ＭＳ Ｐゴシック"/>
        <family val="2"/>
        <scheme val="minor"/>
      </rPr>
      <t>束了，我又回到了名古屋。</t>
    </r>
    <phoneticPr fontId="14" type="noConversion"/>
  </si>
  <si>
    <r>
      <t>我</t>
    </r>
    <r>
      <rPr>
        <sz val="11"/>
        <rFont val="ＭＳ Ｐゴシック"/>
        <family val="3"/>
        <charset val="134"/>
        <scheme val="minor"/>
      </rPr>
      <t>觉</t>
    </r>
    <r>
      <rPr>
        <sz val="11"/>
        <rFont val="ＭＳ Ｐゴシック"/>
        <family val="2"/>
        <scheme val="minor"/>
      </rPr>
      <t>得和家里人一起聊天儿很幸福。</t>
    </r>
    <phoneticPr fontId="14" type="noConversion"/>
  </si>
  <si>
    <r>
      <t>看到弟弟回来了，我高</t>
    </r>
    <r>
      <rPr>
        <sz val="11"/>
        <rFont val="ＭＳ Ｐゴシック"/>
        <family val="3"/>
        <charset val="134"/>
        <scheme val="minor"/>
      </rPr>
      <t>兴</t>
    </r>
    <r>
      <rPr>
        <sz val="11"/>
        <rFont val="ＭＳ Ｐゴシック"/>
        <family val="2"/>
        <scheme val="minor"/>
      </rPr>
      <t>极了。</t>
    </r>
    <phoneticPr fontId="14" type="noConversion"/>
  </si>
  <si>
    <r>
      <t>我</t>
    </r>
    <r>
      <rPr>
        <sz val="11"/>
        <rFont val="ＭＳ Ｐゴシック"/>
        <family val="3"/>
        <charset val="134"/>
        <scheme val="minor"/>
      </rPr>
      <t>问</t>
    </r>
    <r>
      <rPr>
        <sz val="11"/>
        <rFont val="ＭＳ Ｐゴシック"/>
        <family val="2"/>
        <scheme val="minor"/>
      </rPr>
      <t>弟弟大学的生活怎么</t>
    </r>
    <r>
      <rPr>
        <sz val="11"/>
        <rFont val="ＭＳ Ｐゴシック"/>
        <family val="3"/>
        <charset val="134"/>
        <scheme val="minor"/>
      </rPr>
      <t>样</t>
    </r>
    <r>
      <rPr>
        <sz val="11"/>
        <rFont val="ＭＳ Ｐゴシック"/>
        <family val="2"/>
        <scheme val="minor"/>
      </rPr>
      <t>。</t>
    </r>
    <phoneticPr fontId="14" type="noConversion"/>
  </si>
  <si>
    <r>
      <t>我</t>
    </r>
    <r>
      <rPr>
        <sz val="11"/>
        <rFont val="ＭＳ Ｐゴシック"/>
        <family val="3"/>
        <charset val="134"/>
        <scheme val="minor"/>
      </rPr>
      <t>给</t>
    </r>
    <r>
      <rPr>
        <sz val="11"/>
        <rFont val="ＭＳ Ｐゴシック"/>
        <family val="2"/>
        <scheme val="minor"/>
      </rPr>
      <t>弟弟</t>
    </r>
    <r>
      <rPr>
        <sz val="11"/>
        <rFont val="ＭＳ Ｐゴシック"/>
        <family val="3"/>
        <charset val="134"/>
        <scheme val="minor"/>
      </rPr>
      <t>买</t>
    </r>
    <r>
      <rPr>
        <sz val="11"/>
        <rFont val="ＭＳ Ｐゴシック"/>
        <family val="2"/>
        <scheme val="minor"/>
      </rPr>
      <t>了很多好吃的点心。</t>
    </r>
    <phoneticPr fontId="14" type="noConversion"/>
  </si>
  <si>
    <r>
      <rPr>
        <sz val="11"/>
        <rFont val="ＭＳ Ｐゴシック"/>
        <family val="3"/>
        <charset val="134"/>
        <scheme val="minor"/>
      </rPr>
      <t>妈妈问</t>
    </r>
    <r>
      <rPr>
        <sz val="11"/>
        <rFont val="ＭＳ Ｐゴシック"/>
        <family val="2"/>
        <scheme val="minor"/>
      </rPr>
      <t>了一遍又一遍。</t>
    </r>
    <phoneticPr fontId="14" type="noConversion"/>
  </si>
  <si>
    <r>
      <t>大学的生活已</t>
    </r>
    <r>
      <rPr>
        <sz val="11"/>
        <rFont val="ＭＳ Ｐゴシック"/>
        <family val="3"/>
        <charset val="134"/>
        <scheme val="minor"/>
      </rPr>
      <t>经结</t>
    </r>
    <r>
      <rPr>
        <sz val="11"/>
        <rFont val="ＭＳ Ｐゴシック"/>
        <family val="2"/>
        <scheme val="minor"/>
      </rPr>
      <t>束了。</t>
    </r>
    <phoneticPr fontId="14" type="noConversion"/>
  </si>
  <si>
    <r>
      <rPr>
        <sz val="11"/>
        <rFont val="ＭＳ Ｐゴシック"/>
        <family val="3"/>
        <charset val="134"/>
        <scheme val="minor"/>
      </rPr>
      <t>爷爷</t>
    </r>
    <r>
      <rPr>
        <sz val="11"/>
        <rFont val="ＭＳ Ｐゴシック"/>
        <family val="2"/>
        <scheme val="minor"/>
      </rPr>
      <t>拉着我的手</t>
    </r>
    <r>
      <rPr>
        <sz val="11"/>
        <rFont val="ＭＳ Ｐゴシック"/>
        <family val="3"/>
        <charset val="134"/>
        <scheme val="minor"/>
      </rPr>
      <t>问这问</t>
    </r>
    <r>
      <rPr>
        <sz val="11"/>
        <rFont val="ＭＳ Ｐゴシック"/>
        <family val="2"/>
        <scheme val="minor"/>
      </rPr>
      <t>那。</t>
    </r>
    <phoneticPr fontId="14" type="noConversion"/>
  </si>
  <si>
    <r>
      <t>奶奶</t>
    </r>
    <r>
      <rPr>
        <sz val="11"/>
        <rFont val="ＭＳ Ｐゴシック"/>
        <family val="3"/>
        <charset val="134"/>
        <scheme val="minor"/>
      </rPr>
      <t>问</t>
    </r>
    <r>
      <rPr>
        <sz val="11"/>
        <rFont val="ＭＳ Ｐゴシック"/>
        <family val="2"/>
        <scheme val="minor"/>
      </rPr>
      <t>我一个人的生活</t>
    </r>
    <r>
      <rPr>
        <sz val="11"/>
        <rFont val="ＭＳ Ｐゴシック"/>
        <family val="3"/>
        <charset val="134"/>
        <scheme val="minor"/>
      </rPr>
      <t>习惯</t>
    </r>
    <r>
      <rPr>
        <sz val="11"/>
        <rFont val="ＭＳ Ｐゴシック"/>
        <family val="2"/>
        <scheme val="minor"/>
      </rPr>
      <t>不</t>
    </r>
    <r>
      <rPr>
        <sz val="11"/>
        <rFont val="ＭＳ Ｐゴシック"/>
        <family val="3"/>
        <charset val="134"/>
        <scheme val="minor"/>
      </rPr>
      <t>习惯</t>
    </r>
    <r>
      <rPr>
        <sz val="11"/>
        <rFont val="ＭＳ Ｐゴシック"/>
        <family val="2"/>
        <scheme val="minor"/>
      </rPr>
      <t>。</t>
    </r>
    <phoneticPr fontId="14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</si>
</sst>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u/>
      <sz val="12"/>
      <color theme="1"/>
      <name val="SimSun"/>
      <family val="3"/>
      <charset val="134"/>
    </font>
    <font>
      <b/>
      <sz val="12"/>
      <color theme="1"/>
      <name val="ＭＳ 明朝"/>
      <family val="1"/>
      <charset val="128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1"/>
      <name val="ＭＳ Ｐゴシック"/>
      <family val="2"/>
      <scheme val="minor"/>
    </font>
    <font>
      <sz val="11"/>
      <name val="ＭＳ 明朝"/>
      <family val="1"/>
      <charset val="128"/>
    </font>
    <font>
      <b/>
      <sz val="11"/>
      <name val="ＭＳ Ｐゴシック"/>
      <family val="2"/>
      <scheme val="minor"/>
    </font>
    <font>
      <sz val="1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3" fillId="0" borderId="0" xfId="0" applyFont="1" applyAlignme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justify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/>
    <xf numFmtId="0" fontId="8" fillId="0" borderId="0" xfId="0" applyFont="1" applyAlignment="1"/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2" fillId="0" borderId="0" xfId="1" applyFont="1"/>
    <xf numFmtId="0" fontId="12" fillId="0" borderId="0" xfId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15" fillId="0" borderId="0" xfId="0" applyFont="1" applyAlignment="1"/>
    <xf numFmtId="0" fontId="15" fillId="0" borderId="0" xfId="0" applyFont="1"/>
    <xf numFmtId="0" fontId="16" fillId="2" borderId="0" xfId="0" applyFont="1" applyFill="1"/>
    <xf numFmtId="0" fontId="17" fillId="2" borderId="0" xfId="0" applyFont="1" applyFill="1"/>
    <xf numFmtId="9" fontId="0" fillId="0" borderId="0" xfId="0" applyNumberFormat="1"/>
    <xf numFmtId="0" fontId="18" fillId="3" borderId="0" xfId="0" applyFont="1" applyFill="1" applyAlignment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 applyAlignment="1"/>
    <xf numFmtId="0" fontId="19" fillId="3" borderId="0" xfId="0" applyFont="1" applyFill="1" applyAlignment="1"/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21" fillId="3" borderId="0" xfId="0" applyFont="1" applyFill="1" applyAlignment="1"/>
  </cellXfs>
  <cellStyles count="2">
    <cellStyle name="ハイパーリンク" xfId="1" builtinId="8"/>
    <cellStyle name="標準" xfId="0" builtinId="0"/>
  </cellStyles>
  <dxfs count="3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4"/>
  <sheetViews>
    <sheetView tabSelected="1" zoomScale="130" zoomScaleNormal="130" workbookViewId="0">
      <selection activeCell="AG8" sqref="AG8"/>
    </sheetView>
  </sheetViews>
  <sheetFormatPr defaultRowHeight="14.25"/>
  <cols>
    <col min="1" max="1" width="1.875" style="10" customWidth="1"/>
    <col min="2" max="29" width="2.625" style="10" customWidth="1"/>
    <col min="30" max="31" width="2.625" customWidth="1"/>
  </cols>
  <sheetData>
    <row r="1" spans="1:29">
      <c r="B1" s="5" t="s">
        <v>49</v>
      </c>
      <c r="C1" s="5"/>
      <c r="D1" s="5"/>
      <c r="E1" s="5"/>
      <c r="F1" s="5"/>
      <c r="G1" s="5"/>
      <c r="H1" s="5"/>
      <c r="I1" s="5"/>
      <c r="J1" s="43" t="s">
        <v>2</v>
      </c>
      <c r="K1" s="43"/>
      <c r="L1" s="44"/>
      <c r="M1" s="44"/>
      <c r="N1" s="45"/>
      <c r="O1" s="45"/>
      <c r="P1" s="45"/>
      <c r="Q1" s="45"/>
      <c r="R1" s="45"/>
      <c r="S1" s="45"/>
      <c r="T1" s="45"/>
      <c r="U1" s="5"/>
    </row>
    <row r="2" spans="1:29" ht="19.5" customHeight="1">
      <c r="B2" s="47" t="s">
        <v>0</v>
      </c>
      <c r="C2" s="47"/>
      <c r="D2" s="47"/>
      <c r="E2" s="48"/>
      <c r="F2" s="48"/>
      <c r="G2" s="48"/>
      <c r="H2" s="48"/>
      <c r="I2" s="48"/>
      <c r="J2" s="48"/>
      <c r="K2" s="5"/>
      <c r="L2" s="12" t="s">
        <v>1</v>
      </c>
      <c r="M2" s="5"/>
      <c r="N2" s="48"/>
      <c r="O2" s="48"/>
      <c r="P2" s="48"/>
      <c r="Q2" s="48"/>
      <c r="R2" s="48"/>
      <c r="S2" s="48"/>
      <c r="T2" s="48"/>
      <c r="U2" s="48"/>
    </row>
    <row r="3" spans="1:29" ht="18.75" customHeight="1">
      <c r="B3" s="11" t="s">
        <v>79</v>
      </c>
      <c r="C3" s="13"/>
      <c r="D3" s="13"/>
      <c r="E3" s="14"/>
      <c r="F3" s="14"/>
      <c r="G3" s="14"/>
      <c r="H3" s="14"/>
      <c r="I3" s="14"/>
      <c r="J3" s="14"/>
      <c r="L3" s="13"/>
      <c r="N3" s="14"/>
      <c r="O3" s="14"/>
      <c r="P3" s="14"/>
      <c r="Q3" s="14"/>
      <c r="R3" s="14"/>
      <c r="S3" s="14"/>
      <c r="T3" s="14"/>
      <c r="U3" s="14"/>
    </row>
    <row r="4" spans="1:29" ht="13.5" customHeight="1">
      <c r="B4" s="15"/>
      <c r="C4" s="16" t="s">
        <v>50</v>
      </c>
      <c r="E4" s="46"/>
      <c r="F4" s="46"/>
      <c r="H4" s="11" t="s">
        <v>5</v>
      </c>
      <c r="I4" s="1" t="s">
        <v>76</v>
      </c>
      <c r="K4" s="14"/>
      <c r="L4" s="14"/>
      <c r="M4" s="14"/>
      <c r="N4" s="14"/>
      <c r="P4" s="14"/>
      <c r="Q4" s="14"/>
      <c r="R4" s="14"/>
      <c r="S4" s="14"/>
      <c r="T4" s="21"/>
      <c r="U4" s="18"/>
      <c r="V4" s="18"/>
      <c r="W4" s="17"/>
      <c r="X4" s="10" t="s">
        <v>80</v>
      </c>
    </row>
    <row r="5" spans="1:29" ht="13.5" customHeight="1">
      <c r="B5" s="15"/>
      <c r="C5" s="15"/>
      <c r="D5" s="3"/>
      <c r="I5" s="3" t="s">
        <v>3</v>
      </c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2"/>
      <c r="W5" s="2"/>
      <c r="X5" s="2"/>
      <c r="Y5" s="2"/>
    </row>
    <row r="6" spans="1:29" ht="13.5" customHeight="1">
      <c r="B6" s="15"/>
      <c r="C6" s="16" t="s">
        <v>50</v>
      </c>
      <c r="E6" s="46"/>
      <c r="F6" s="46"/>
      <c r="H6" s="11" t="s">
        <v>7</v>
      </c>
      <c r="I6" s="1" t="s">
        <v>77</v>
      </c>
      <c r="K6" s="14"/>
      <c r="L6" s="14"/>
      <c r="M6" s="14"/>
      <c r="O6" s="13"/>
      <c r="P6" s="14"/>
      <c r="R6" s="18"/>
      <c r="S6" s="18"/>
      <c r="T6" s="18"/>
      <c r="U6" s="10" t="s">
        <v>75</v>
      </c>
    </row>
    <row r="7" spans="1:29" ht="13.5" customHeight="1">
      <c r="B7" s="15"/>
      <c r="C7" s="15"/>
      <c r="I7" s="3" t="s">
        <v>3</v>
      </c>
      <c r="K7" s="3"/>
      <c r="L7" s="3"/>
      <c r="M7" s="3"/>
      <c r="N7" s="3"/>
      <c r="O7" s="3"/>
      <c r="P7" s="3"/>
      <c r="Q7" s="3"/>
      <c r="R7" s="14"/>
      <c r="S7" s="14"/>
      <c r="T7" s="14"/>
      <c r="U7" s="14"/>
    </row>
    <row r="8" spans="1:29" ht="13.5" customHeight="1">
      <c r="B8" s="15"/>
      <c r="C8" s="16" t="s">
        <v>50</v>
      </c>
      <c r="E8" s="46"/>
      <c r="F8" s="46"/>
      <c r="H8" s="11" t="s">
        <v>8</v>
      </c>
      <c r="I8" s="1" t="s">
        <v>78</v>
      </c>
      <c r="K8" s="51"/>
      <c r="L8" s="51"/>
      <c r="M8" s="51"/>
      <c r="N8" s="19" t="s">
        <v>52</v>
      </c>
      <c r="P8" s="14"/>
      <c r="Q8" s="14"/>
      <c r="T8" s="14"/>
      <c r="U8" s="14"/>
    </row>
    <row r="9" spans="1:29" ht="13.5" customHeight="1">
      <c r="B9" s="15"/>
      <c r="C9" s="15"/>
      <c r="D9" s="20"/>
      <c r="I9" s="3" t="s">
        <v>3</v>
      </c>
      <c r="K9" s="3"/>
      <c r="L9" s="3"/>
      <c r="M9" s="3"/>
      <c r="N9" s="3"/>
      <c r="O9" s="3"/>
      <c r="P9" s="3"/>
      <c r="Q9" s="3"/>
      <c r="R9" s="14"/>
      <c r="S9" s="14"/>
      <c r="T9" s="14"/>
      <c r="U9" s="14"/>
    </row>
    <row r="10" spans="1:29" ht="13.5" customHeight="1">
      <c r="B10" s="15"/>
      <c r="C10" s="16" t="s">
        <v>50</v>
      </c>
      <c r="E10" s="46"/>
      <c r="F10" s="46"/>
      <c r="H10" s="11" t="s">
        <v>9</v>
      </c>
      <c r="I10" s="1" t="s">
        <v>53</v>
      </c>
      <c r="K10" s="14"/>
      <c r="L10" s="14"/>
      <c r="M10" s="21"/>
      <c r="N10" s="18"/>
      <c r="O10" s="18"/>
      <c r="P10" s="26"/>
      <c r="Q10" s="14" t="s">
        <v>80</v>
      </c>
      <c r="R10" s="14"/>
      <c r="S10" s="14"/>
      <c r="T10" s="14"/>
      <c r="U10" s="14"/>
    </row>
    <row r="11" spans="1:29" ht="13.5" customHeight="1">
      <c r="B11" s="15"/>
      <c r="C11" s="15"/>
      <c r="D11" s="20"/>
      <c r="I11" s="3" t="s">
        <v>3</v>
      </c>
      <c r="K11" s="3"/>
      <c r="L11" s="3"/>
      <c r="M11" s="3"/>
      <c r="N11" s="3"/>
      <c r="O11" s="3"/>
      <c r="P11" s="3"/>
      <c r="Q11" s="3"/>
      <c r="R11" s="14"/>
      <c r="S11" s="14"/>
      <c r="T11" s="14"/>
      <c r="U11" s="14"/>
    </row>
    <row r="12" spans="1:29" ht="13.5" customHeight="1">
      <c r="B12" s="15"/>
      <c r="C12" s="16" t="s">
        <v>50</v>
      </c>
      <c r="E12" s="46"/>
      <c r="F12" s="46"/>
      <c r="H12" s="11" t="s">
        <v>11</v>
      </c>
      <c r="I12" s="4" t="s">
        <v>54</v>
      </c>
      <c r="K12" s="4"/>
      <c r="L12" s="4"/>
      <c r="M12" s="4"/>
      <c r="N12" s="4"/>
      <c r="O12" s="4"/>
      <c r="P12" s="21"/>
      <c r="Q12" s="18"/>
      <c r="R12" s="18"/>
      <c r="S12" s="18"/>
      <c r="T12" s="14" t="s">
        <v>81</v>
      </c>
      <c r="U12" s="49"/>
      <c r="V12" s="49"/>
      <c r="X12" s="52"/>
      <c r="Y12" s="52"/>
      <c r="AA12" s="52"/>
      <c r="AB12" s="52"/>
    </row>
    <row r="13" spans="1:29" ht="13.5" customHeight="1">
      <c r="B13" s="15"/>
      <c r="C13" s="15"/>
      <c r="D13" s="13"/>
      <c r="I13" s="3" t="s">
        <v>3</v>
      </c>
      <c r="K13" s="3"/>
      <c r="L13" s="3"/>
      <c r="M13" s="3"/>
      <c r="N13" s="3"/>
      <c r="O13" s="3"/>
      <c r="P13" s="3"/>
      <c r="Q13" s="3"/>
      <c r="R13" s="22"/>
      <c r="S13" s="14"/>
      <c r="U13" s="23"/>
      <c r="V13" s="14"/>
      <c r="X13" s="23"/>
      <c r="Y13" s="14"/>
      <c r="AA13" s="23"/>
    </row>
    <row r="14" spans="1:29" ht="13.5" customHeight="1">
      <c r="B14" s="11" t="s">
        <v>12</v>
      </c>
      <c r="C14" s="24"/>
      <c r="D14" s="24"/>
      <c r="E14" s="13"/>
    </row>
    <row r="15" spans="1:29" ht="13.5" customHeight="1">
      <c r="B15" s="15"/>
      <c r="C15" s="16" t="s">
        <v>50</v>
      </c>
      <c r="E15" s="46"/>
      <c r="F15" s="46"/>
      <c r="H15" s="11" t="s">
        <v>5</v>
      </c>
      <c r="I15" s="6" t="s">
        <v>13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9" s="28" customFormat="1" ht="13.5" customHeight="1">
      <c r="A16" s="1"/>
      <c r="B16" s="4"/>
      <c r="C16" s="4"/>
      <c r="D16" s="29"/>
      <c r="E16" s="1"/>
      <c r="F16" s="1"/>
      <c r="G16" s="1"/>
      <c r="H16" s="1"/>
      <c r="I16" s="1" t="s">
        <v>55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"/>
      <c r="AC16" s="1"/>
    </row>
    <row r="17" spans="1:29" s="28" customFormat="1" ht="13.5" customHeight="1">
      <c r="A17" s="1"/>
      <c r="B17" s="4"/>
      <c r="C17" s="4"/>
      <c r="D17" s="29"/>
      <c r="E17" s="1"/>
      <c r="F17" s="1"/>
      <c r="G17" s="1"/>
      <c r="H17" s="1"/>
      <c r="I17" s="1" t="s">
        <v>56</v>
      </c>
      <c r="J17" s="7"/>
      <c r="K17" s="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"/>
      <c r="AC17" s="1"/>
    </row>
    <row r="18" spans="1:29" ht="13.5" customHeight="1">
      <c r="B18" s="15"/>
      <c r="C18" s="16" t="s">
        <v>50</v>
      </c>
      <c r="E18" s="46"/>
      <c r="F18" s="46"/>
      <c r="H18" s="11" t="s">
        <v>7</v>
      </c>
      <c r="I18" s="6" t="s">
        <v>14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9" s="28" customFormat="1" ht="13.5" customHeight="1">
      <c r="A19" s="1"/>
      <c r="B19" s="4"/>
      <c r="C19" s="4"/>
      <c r="D19" s="29"/>
      <c r="E19" s="1"/>
      <c r="F19" s="1"/>
      <c r="G19" s="1"/>
      <c r="H19" s="1"/>
      <c r="I19" s="1" t="s">
        <v>57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"/>
      <c r="AC19" s="1"/>
    </row>
    <row r="20" spans="1:29" s="28" customFormat="1" ht="13.5" customHeight="1">
      <c r="A20" s="1"/>
      <c r="B20" s="4"/>
      <c r="C20" s="4"/>
      <c r="D20" s="29"/>
      <c r="E20" s="1"/>
      <c r="F20" s="1"/>
      <c r="G20" s="1"/>
      <c r="H20" s="1"/>
      <c r="I20" s="1" t="s">
        <v>58</v>
      </c>
      <c r="J20" s="7"/>
      <c r="K20" s="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"/>
      <c r="AC20" s="1"/>
    </row>
    <row r="21" spans="1:29" ht="13.5" customHeight="1">
      <c r="B21" s="15"/>
      <c r="C21" s="16" t="s">
        <v>50</v>
      </c>
      <c r="E21" s="46"/>
      <c r="F21" s="46"/>
      <c r="H21" s="11" t="s">
        <v>8</v>
      </c>
      <c r="I21" s="6" t="s">
        <v>15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9" s="28" customFormat="1" ht="13.5" customHeight="1">
      <c r="A22" s="1"/>
      <c r="B22" s="4"/>
      <c r="C22" s="4"/>
      <c r="D22" s="29"/>
      <c r="E22" s="1"/>
      <c r="F22" s="1"/>
      <c r="G22" s="1"/>
      <c r="H22" s="1"/>
      <c r="I22" s="1" t="s">
        <v>59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"/>
      <c r="AC22" s="1"/>
    </row>
    <row r="23" spans="1:29" s="28" customFormat="1" ht="13.5" customHeight="1">
      <c r="A23" s="1"/>
      <c r="B23" s="4"/>
      <c r="C23" s="4"/>
      <c r="D23" s="29"/>
      <c r="E23" s="1"/>
      <c r="F23" s="1"/>
      <c r="G23" s="1"/>
      <c r="H23" s="1"/>
      <c r="I23" s="1" t="s">
        <v>60</v>
      </c>
      <c r="J23" s="7"/>
      <c r="K23" s="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"/>
      <c r="AC23" s="1"/>
    </row>
    <row r="24" spans="1:29" ht="13.5" customHeight="1">
      <c r="B24" s="15"/>
      <c r="C24" s="16" t="s">
        <v>50</v>
      </c>
      <c r="E24" s="46"/>
      <c r="F24" s="46"/>
      <c r="H24" s="11" t="s">
        <v>9</v>
      </c>
      <c r="I24" s="6" t="s">
        <v>16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9" s="28" customFormat="1" ht="13.5" customHeight="1">
      <c r="A25" s="1"/>
      <c r="B25" s="4"/>
      <c r="C25" s="4"/>
      <c r="D25" s="29"/>
      <c r="E25" s="1"/>
      <c r="F25" s="1"/>
      <c r="G25" s="1"/>
      <c r="H25" s="1"/>
      <c r="I25" s="1" t="s">
        <v>61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"/>
      <c r="AC25" s="1"/>
    </row>
    <row r="26" spans="1:29" s="28" customFormat="1" ht="13.5" customHeight="1">
      <c r="A26" s="1"/>
      <c r="B26" s="4"/>
      <c r="C26" s="4"/>
      <c r="D26" s="29"/>
      <c r="E26" s="1"/>
      <c r="F26" s="1"/>
      <c r="G26" s="1"/>
      <c r="H26" s="1"/>
      <c r="I26" s="1" t="s">
        <v>62</v>
      </c>
      <c r="J26" s="7"/>
      <c r="K26" s="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"/>
      <c r="AC26" s="1"/>
    </row>
    <row r="27" spans="1:29" ht="13.5" customHeight="1">
      <c r="B27" s="15"/>
      <c r="C27" s="16" t="s">
        <v>50</v>
      </c>
      <c r="E27" s="46"/>
      <c r="F27" s="46"/>
      <c r="H27" s="11" t="s">
        <v>11</v>
      </c>
      <c r="I27" s="6" t="s">
        <v>17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9" s="28" customFormat="1" ht="13.5" customHeight="1">
      <c r="A28" s="1"/>
      <c r="B28" s="4"/>
      <c r="C28" s="4"/>
      <c r="D28" s="29"/>
      <c r="E28" s="1"/>
      <c r="F28" s="1"/>
      <c r="G28" s="1"/>
      <c r="H28" s="30"/>
      <c r="I28" s="1" t="s">
        <v>63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"/>
      <c r="AC28" s="1"/>
    </row>
    <row r="29" spans="1:29" s="28" customFormat="1" ht="13.5" customHeight="1">
      <c r="A29" s="1"/>
      <c r="B29" s="4"/>
      <c r="C29" s="4"/>
      <c r="D29" s="29"/>
      <c r="E29" s="1"/>
      <c r="F29" s="1"/>
      <c r="G29" s="1"/>
      <c r="H29" s="30"/>
      <c r="I29" s="1" t="s">
        <v>64</v>
      </c>
      <c r="J29" s="7"/>
      <c r="K29" s="8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1"/>
      <c r="AC29" s="1"/>
    </row>
    <row r="30" spans="1:29">
      <c r="B30" s="5" t="s">
        <v>18</v>
      </c>
    </row>
    <row r="31" spans="1:29">
      <c r="C31" s="11" t="s">
        <v>5</v>
      </c>
      <c r="D31" s="5" t="s">
        <v>19</v>
      </c>
    </row>
    <row r="32" spans="1:29" s="28" customFormat="1">
      <c r="A32" s="1"/>
      <c r="B32" s="1"/>
      <c r="C32" s="1"/>
      <c r="D32" s="1" t="s">
        <v>20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s="28" customFormat="1">
      <c r="A33" s="1"/>
      <c r="B33" s="1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1"/>
      <c r="Y33" s="1"/>
      <c r="Z33" s="1"/>
      <c r="AA33" s="1"/>
      <c r="AB33" s="1"/>
      <c r="AC33" s="1"/>
    </row>
    <row r="34" spans="1:29">
      <c r="C34" s="11" t="s">
        <v>7</v>
      </c>
      <c r="D34" s="5" t="s">
        <v>21</v>
      </c>
    </row>
    <row r="35" spans="1:29">
      <c r="D35" s="1" t="s">
        <v>22</v>
      </c>
    </row>
    <row r="36" spans="1:29"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</row>
    <row r="37" spans="1:29">
      <c r="C37" s="11" t="s">
        <v>8</v>
      </c>
      <c r="D37" s="5" t="s">
        <v>23</v>
      </c>
    </row>
    <row r="38" spans="1:29" s="28" customFormat="1">
      <c r="A38" s="1"/>
      <c r="B38" s="1"/>
      <c r="C38" s="1"/>
      <c r="D38" s="1" t="s">
        <v>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s="28" customFormat="1">
      <c r="A39" s="1"/>
      <c r="B39" s="1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1"/>
      <c r="Y39" s="1"/>
      <c r="Z39" s="1"/>
      <c r="AA39" s="1"/>
      <c r="AB39" s="1"/>
      <c r="AC39" s="1"/>
    </row>
    <row r="40" spans="1:29">
      <c r="C40" s="11" t="s">
        <v>9</v>
      </c>
      <c r="D40" s="5" t="s">
        <v>25</v>
      </c>
    </row>
    <row r="41" spans="1:29" s="28" customFormat="1">
      <c r="A41" s="1"/>
      <c r="B41" s="1"/>
      <c r="C41" s="1"/>
      <c r="D41" s="1" t="s">
        <v>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8" customFormat="1">
      <c r="A42" s="1"/>
      <c r="B42" s="1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1"/>
      <c r="Y42" s="1"/>
      <c r="Z42" s="1"/>
      <c r="AA42" s="1"/>
      <c r="AB42" s="1"/>
      <c r="AC42" s="1"/>
    </row>
    <row r="43" spans="1:29">
      <c r="C43" s="5" t="s">
        <v>10</v>
      </c>
      <c r="D43" s="5" t="s">
        <v>27</v>
      </c>
    </row>
    <row r="44" spans="1:29" s="28" customFormat="1">
      <c r="A44" s="1"/>
      <c r="B44" s="1"/>
      <c r="C44" s="1"/>
      <c r="D44" s="1" t="s">
        <v>28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s="28" customFormat="1">
      <c r="A45" s="1"/>
      <c r="B45" s="1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1"/>
      <c r="Y45" s="1"/>
      <c r="Z45" s="1"/>
      <c r="AA45" s="1"/>
      <c r="AB45" s="1"/>
      <c r="AC45" s="1"/>
    </row>
    <row r="46" spans="1:29">
      <c r="C46" s="5" t="s">
        <v>29</v>
      </c>
      <c r="D46" s="5" t="s">
        <v>30</v>
      </c>
    </row>
    <row r="47" spans="1:29" s="28" customFormat="1">
      <c r="A47" s="1"/>
      <c r="B47" s="1"/>
      <c r="C47" s="1"/>
      <c r="D47" s="1" t="s">
        <v>31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s="28" customFormat="1">
      <c r="A48" s="1"/>
      <c r="B48" s="1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1"/>
      <c r="Y48" s="1"/>
      <c r="Z48" s="1"/>
      <c r="AA48" s="1"/>
      <c r="AB48" s="1"/>
      <c r="AC48" s="1"/>
    </row>
    <row r="49" spans="1:29">
      <c r="C49" s="5" t="s">
        <v>32</v>
      </c>
      <c r="D49" s="5" t="s">
        <v>33</v>
      </c>
    </row>
    <row r="50" spans="1:29" s="28" customFormat="1">
      <c r="A50" s="1"/>
      <c r="B50" s="1"/>
      <c r="C50" s="1"/>
      <c r="D50" s="1" t="s">
        <v>34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s="28" customFormat="1">
      <c r="A51" s="1"/>
      <c r="B51" s="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1"/>
      <c r="Y51" s="1"/>
      <c r="Z51" s="1"/>
      <c r="AA51" s="1"/>
      <c r="AB51" s="1"/>
      <c r="AC51" s="1"/>
    </row>
    <row r="52" spans="1:29">
      <c r="C52" s="5" t="s">
        <v>35</v>
      </c>
      <c r="D52" s="5" t="s">
        <v>36</v>
      </c>
    </row>
    <row r="53" spans="1:29" s="28" customFormat="1">
      <c r="A53" s="1"/>
      <c r="B53" s="1"/>
      <c r="C53" s="1"/>
      <c r="D53" s="1" t="s">
        <v>37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s="28" customFormat="1">
      <c r="A54" s="1"/>
      <c r="B54" s="1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1"/>
      <c r="Y54" s="1"/>
      <c r="Z54" s="1"/>
      <c r="AA54" s="1"/>
      <c r="AB54" s="1"/>
      <c r="AC54" s="1"/>
    </row>
    <row r="55" spans="1:29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9">
      <c r="B56" s="5" t="s">
        <v>38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9" s="28" customFormat="1">
      <c r="A57" s="1"/>
      <c r="B57" s="1"/>
      <c r="C57" s="1" t="s">
        <v>4</v>
      </c>
      <c r="D57" s="1" t="s">
        <v>39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1"/>
      <c r="Y57" s="1"/>
      <c r="Z57" s="1"/>
      <c r="AA57" s="1"/>
      <c r="AB57" s="1"/>
      <c r="AC57" s="1"/>
    </row>
    <row r="58" spans="1:29" s="28" customFormat="1">
      <c r="A58" s="1"/>
      <c r="B58" s="1"/>
      <c r="C58" s="29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1"/>
      <c r="Z58" s="1"/>
      <c r="AA58" s="1"/>
      <c r="AB58" s="1"/>
      <c r="AC58" s="1"/>
    </row>
    <row r="59" spans="1:29" s="28" customFormat="1">
      <c r="A59" s="1"/>
      <c r="B59" s="1"/>
      <c r="C59" s="31" t="s">
        <v>7</v>
      </c>
      <c r="D59" s="1" t="s">
        <v>40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s="28" customFormat="1">
      <c r="A60" s="1"/>
      <c r="B60" s="1"/>
      <c r="C60" s="1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1"/>
      <c r="Z60" s="1"/>
      <c r="AA60" s="1"/>
      <c r="AB60" s="1"/>
      <c r="AC60" s="1"/>
    </row>
    <row r="61" spans="1:29" s="28" customFormat="1">
      <c r="A61" s="1"/>
      <c r="B61" s="1"/>
      <c r="C61" s="31" t="s">
        <v>8</v>
      </c>
      <c r="D61" s="1" t="s">
        <v>41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s="28" customFormat="1">
      <c r="A62" s="1"/>
      <c r="B62" s="1"/>
      <c r="C62" s="31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1"/>
      <c r="Z62" s="1"/>
      <c r="AA62" s="1"/>
      <c r="AB62" s="1"/>
      <c r="AC62" s="1"/>
    </row>
    <row r="63" spans="1:29" s="28" customFormat="1">
      <c r="A63" s="1"/>
      <c r="B63" s="1"/>
      <c r="C63" s="31" t="s">
        <v>9</v>
      </c>
      <c r="D63" s="1" t="s">
        <v>42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s="28" customFormat="1">
      <c r="A64" s="1"/>
      <c r="B64" s="1"/>
      <c r="C64" s="31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1"/>
      <c r="Z64" s="1"/>
      <c r="AA64" s="1"/>
      <c r="AB64" s="1"/>
      <c r="AC64" s="1"/>
    </row>
    <row r="65" spans="1:31" s="28" customFormat="1">
      <c r="A65" s="1"/>
      <c r="B65" s="1"/>
      <c r="C65" s="1" t="s">
        <v>10</v>
      </c>
      <c r="D65" s="1" t="s">
        <v>43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31" s="28" customFormat="1">
      <c r="A66" s="1"/>
      <c r="B66" s="1"/>
      <c r="C66" s="31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1"/>
      <c r="Z66" s="1"/>
      <c r="AA66" s="1"/>
      <c r="AB66" s="1"/>
      <c r="AC66" s="1"/>
    </row>
    <row r="67" spans="1:31" ht="7.5" customHeight="1">
      <c r="C67" s="20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31" ht="26.25" customHeight="1">
      <c r="B68" s="54" t="s">
        <v>51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 spans="1:31" ht="62.25" customHeight="1">
      <c r="B69" s="53" t="s">
        <v>82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</row>
    <row r="70" spans="1:31">
      <c r="C70" s="16" t="s">
        <v>50</v>
      </c>
      <c r="E70" s="46"/>
      <c r="F70" s="46"/>
      <c r="H70" s="5" t="s">
        <v>4</v>
      </c>
      <c r="I70" s="7" t="s">
        <v>44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Y70" s="25"/>
      <c r="Z70" s="25"/>
      <c r="AA70" s="25"/>
    </row>
    <row r="71" spans="1:31">
      <c r="B71" s="15"/>
      <c r="C71" s="15"/>
      <c r="D71" s="7"/>
      <c r="H71" s="9"/>
      <c r="I71" s="10" t="s">
        <v>68</v>
      </c>
      <c r="J71" s="7"/>
      <c r="K71" s="9"/>
      <c r="L71" s="9"/>
      <c r="M71" s="9"/>
      <c r="N71" s="9"/>
      <c r="O71" s="9"/>
      <c r="P71" s="9"/>
      <c r="Q71" s="9"/>
      <c r="R71" s="9"/>
      <c r="S71" s="9"/>
      <c r="T71" s="7"/>
      <c r="U71" s="9"/>
      <c r="V71" s="9"/>
      <c r="W71" s="9"/>
      <c r="X71" s="9"/>
      <c r="Y71" s="9"/>
    </row>
    <row r="72" spans="1:31">
      <c r="B72" s="15"/>
      <c r="C72" s="15"/>
      <c r="D72" s="7"/>
      <c r="H72" s="9"/>
      <c r="I72" s="10" t="s">
        <v>69</v>
      </c>
      <c r="J72" s="7"/>
      <c r="K72" s="8"/>
      <c r="L72" s="9"/>
      <c r="M72" s="9"/>
      <c r="N72" s="9"/>
      <c r="O72" s="9"/>
      <c r="P72" s="9"/>
      <c r="Q72" s="9"/>
      <c r="R72" s="9"/>
      <c r="S72" s="9"/>
      <c r="T72" s="7"/>
      <c r="U72" s="9"/>
      <c r="V72" s="9"/>
      <c r="W72" s="9"/>
      <c r="X72" s="9"/>
      <c r="Y72" s="9"/>
    </row>
    <row r="73" spans="1:31">
      <c r="B73" s="15"/>
      <c r="C73" s="16" t="s">
        <v>50</v>
      </c>
      <c r="E73" s="46"/>
      <c r="F73" s="46"/>
      <c r="H73" s="5" t="s">
        <v>6</v>
      </c>
      <c r="I73" s="7" t="s">
        <v>45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Y73" s="25"/>
      <c r="Z73" s="25"/>
      <c r="AA73" s="25"/>
      <c r="AB73" s="25"/>
      <c r="AC73" s="25"/>
    </row>
    <row r="74" spans="1:31">
      <c r="B74" s="15"/>
      <c r="C74" s="15"/>
      <c r="D74" s="7"/>
      <c r="H74" s="9"/>
      <c r="I74" s="10" t="s">
        <v>66</v>
      </c>
      <c r="J74" s="7"/>
      <c r="K74" s="9"/>
      <c r="L74" s="9"/>
      <c r="M74" s="9"/>
      <c r="N74" s="9"/>
      <c r="O74" s="9"/>
      <c r="P74" s="9"/>
      <c r="Q74" s="9"/>
      <c r="R74" s="9"/>
      <c r="S74" s="9"/>
      <c r="T74" s="7"/>
      <c r="U74" s="9"/>
      <c r="V74" s="9"/>
    </row>
    <row r="75" spans="1:31">
      <c r="B75" s="15"/>
      <c r="C75" s="15"/>
      <c r="D75" s="7"/>
      <c r="H75" s="9"/>
      <c r="I75" s="10" t="s">
        <v>67</v>
      </c>
      <c r="J75" s="7"/>
      <c r="K75" s="8"/>
      <c r="L75" s="9"/>
      <c r="M75" s="9"/>
      <c r="N75" s="9"/>
      <c r="O75" s="9"/>
      <c r="P75" s="9"/>
      <c r="Q75" s="9"/>
      <c r="R75" s="9"/>
      <c r="S75" s="9"/>
      <c r="T75" s="7"/>
      <c r="U75" s="9"/>
      <c r="V75" s="9"/>
      <c r="Y75" s="25"/>
      <c r="Z75" s="25"/>
      <c r="AA75" s="25"/>
      <c r="AB75" s="25"/>
    </row>
    <row r="76" spans="1:31">
      <c r="B76" s="15"/>
      <c r="C76" s="16" t="s">
        <v>50</v>
      </c>
      <c r="E76" s="46"/>
      <c r="F76" s="46"/>
      <c r="H76" s="11" t="s">
        <v>8</v>
      </c>
      <c r="I76" s="7" t="s">
        <v>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Y76" s="25"/>
      <c r="Z76" s="25"/>
      <c r="AA76" s="25"/>
      <c r="AB76" s="25"/>
    </row>
    <row r="77" spans="1:31">
      <c r="B77" s="15"/>
      <c r="C77" s="15"/>
      <c r="D77" s="9"/>
      <c r="H77" s="9"/>
      <c r="I77" s="10" t="s">
        <v>70</v>
      </c>
      <c r="J77" s="7"/>
      <c r="K77" s="9"/>
      <c r="L77" s="9"/>
      <c r="M77" s="9"/>
      <c r="N77" s="9"/>
      <c r="O77" s="9"/>
      <c r="P77" s="9"/>
      <c r="Q77" s="9"/>
      <c r="R77" s="9"/>
      <c r="S77" s="9"/>
      <c r="T77" s="7"/>
      <c r="U77" s="9"/>
      <c r="V77" s="9"/>
      <c r="Y77" s="25"/>
      <c r="Z77" s="25"/>
      <c r="AA77" s="25"/>
      <c r="AB77" s="25"/>
    </row>
    <row r="78" spans="1:31">
      <c r="B78" s="15"/>
      <c r="C78" s="15"/>
      <c r="D78" s="9"/>
      <c r="H78" s="9"/>
      <c r="I78" s="10" t="s">
        <v>71</v>
      </c>
      <c r="J78" s="7"/>
      <c r="K78" s="8"/>
      <c r="L78" s="9"/>
      <c r="M78" s="9"/>
      <c r="N78" s="9"/>
      <c r="O78" s="9"/>
      <c r="P78" s="9"/>
      <c r="Q78" s="9"/>
      <c r="R78" s="9"/>
      <c r="S78" s="9"/>
      <c r="T78" s="7"/>
      <c r="U78" s="9"/>
      <c r="V78" s="9"/>
      <c r="Y78" s="25"/>
      <c r="Z78" s="25"/>
      <c r="AA78" s="25"/>
      <c r="AB78" s="25"/>
    </row>
    <row r="79" spans="1:31">
      <c r="B79" s="15"/>
      <c r="C79" s="16" t="s">
        <v>50</v>
      </c>
      <c r="E79" s="46"/>
      <c r="F79" s="46"/>
      <c r="H79" s="11" t="s">
        <v>9</v>
      </c>
      <c r="I79" s="7" t="s">
        <v>47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Y79" s="25"/>
      <c r="Z79" s="25"/>
      <c r="AA79" s="25"/>
      <c r="AB79" s="25"/>
    </row>
    <row r="80" spans="1:31">
      <c r="B80" s="15"/>
      <c r="C80" s="15"/>
      <c r="D80" s="9"/>
      <c r="H80" s="9"/>
      <c r="I80" s="10" t="s">
        <v>72</v>
      </c>
      <c r="J80" s="7"/>
      <c r="K80" s="9"/>
      <c r="L80" s="9"/>
      <c r="M80" s="9"/>
      <c r="N80" s="9"/>
      <c r="O80" s="9"/>
      <c r="P80" s="9"/>
      <c r="Q80" s="9"/>
      <c r="R80" s="9"/>
      <c r="S80" s="9"/>
      <c r="T80" s="7"/>
      <c r="U80" s="9"/>
      <c r="V80" s="9"/>
      <c r="Y80" s="25"/>
      <c r="Z80" s="25"/>
      <c r="AA80" s="25"/>
      <c r="AB80" s="25"/>
    </row>
    <row r="81" spans="2:28">
      <c r="B81" s="15"/>
      <c r="C81" s="15"/>
      <c r="D81" s="9"/>
      <c r="H81" s="9"/>
      <c r="I81" s="10" t="s">
        <v>65</v>
      </c>
      <c r="J81" s="7"/>
      <c r="K81" s="8"/>
      <c r="L81" s="9"/>
      <c r="M81" s="9"/>
      <c r="N81" s="9"/>
      <c r="O81" s="9"/>
      <c r="P81" s="9"/>
      <c r="Q81" s="9"/>
      <c r="R81" s="9"/>
      <c r="S81" s="9"/>
      <c r="T81" s="7"/>
      <c r="U81" s="9"/>
      <c r="V81" s="9"/>
      <c r="Y81" s="25"/>
      <c r="Z81" s="25"/>
      <c r="AA81" s="25"/>
      <c r="AB81" s="25"/>
    </row>
    <row r="82" spans="2:28">
      <c r="B82" s="15"/>
      <c r="C82" s="16" t="s">
        <v>50</v>
      </c>
      <c r="E82" s="46"/>
      <c r="F82" s="46"/>
      <c r="H82" s="5" t="s">
        <v>10</v>
      </c>
      <c r="I82" s="7" t="s">
        <v>48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Y82" s="25"/>
      <c r="Z82" s="25"/>
      <c r="AA82" s="25"/>
      <c r="AB82" s="25"/>
    </row>
    <row r="83" spans="2:28">
      <c r="B83" s="15"/>
      <c r="C83" s="15"/>
      <c r="D83" s="9"/>
      <c r="H83" s="9"/>
      <c r="I83" s="10" t="s">
        <v>73</v>
      </c>
      <c r="J83" s="7"/>
      <c r="K83" s="9"/>
      <c r="L83" s="9"/>
      <c r="M83" s="9"/>
      <c r="N83" s="9"/>
      <c r="O83" s="9"/>
      <c r="P83" s="9"/>
      <c r="Q83" s="9"/>
      <c r="R83" s="9"/>
      <c r="S83" s="9"/>
      <c r="T83" s="7"/>
      <c r="U83" s="9"/>
      <c r="V83" s="9"/>
      <c r="Y83" s="25"/>
      <c r="Z83" s="25"/>
      <c r="AA83" s="25"/>
      <c r="AB83" s="25"/>
    </row>
    <row r="84" spans="2:28">
      <c r="D84" s="9"/>
      <c r="H84" s="9"/>
      <c r="I84" s="10" t="s">
        <v>74</v>
      </c>
      <c r="J84" s="7"/>
      <c r="K84" s="8"/>
      <c r="L84" s="9"/>
      <c r="M84" s="9"/>
      <c r="N84" s="9"/>
      <c r="O84" s="9"/>
      <c r="P84" s="9"/>
      <c r="Q84" s="9"/>
      <c r="R84" s="9"/>
      <c r="S84" s="9"/>
      <c r="T84" s="7"/>
      <c r="U84" s="9"/>
      <c r="V84" s="9"/>
    </row>
  </sheetData>
  <mergeCells count="39">
    <mergeCell ref="E79:F79"/>
    <mergeCell ref="E82:F82"/>
    <mergeCell ref="E24:F24"/>
    <mergeCell ref="E27:F27"/>
    <mergeCell ref="E70:F70"/>
    <mergeCell ref="E73:F73"/>
    <mergeCell ref="E76:F76"/>
    <mergeCell ref="AA12:AB12"/>
    <mergeCell ref="X12:Y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J1:K1"/>
    <mergeCell ref="L1:T1"/>
    <mergeCell ref="C45:W45"/>
    <mergeCell ref="B2:D2"/>
    <mergeCell ref="E2:J2"/>
    <mergeCell ref="N2:U2"/>
    <mergeCell ref="C39:W39"/>
    <mergeCell ref="C42:W42"/>
    <mergeCell ref="U12:V12"/>
    <mergeCell ref="C33:W33"/>
    <mergeCell ref="C36:W36"/>
    <mergeCell ref="K8:M8"/>
    <mergeCell ref="E4:F4"/>
    <mergeCell ref="E6:F6"/>
    <mergeCell ref="E8:F8"/>
    <mergeCell ref="E10:F10"/>
  </mergeCells>
  <phoneticPr fontId="1"/>
  <conditionalFormatting sqref="E2:J2">
    <cfRule type="containsBlanks" dxfId="36" priority="31">
      <formula>LEN(TRIM(E2))=0</formula>
    </cfRule>
  </conditionalFormatting>
  <conditionalFormatting sqref="L1:T1">
    <cfRule type="containsBlanks" dxfId="35" priority="30">
      <formula>LEN(TRIM(L1))=0</formula>
    </cfRule>
  </conditionalFormatting>
  <conditionalFormatting sqref="N2:U2">
    <cfRule type="containsBlanks" dxfId="34" priority="29">
      <formula>LEN(TRIM(N2))=0</formula>
    </cfRule>
  </conditionalFormatting>
  <conditionalFormatting sqref="E4:F4">
    <cfRule type="containsBlanks" dxfId="33" priority="28">
      <formula>LEN(TRIM(E4))=0</formula>
    </cfRule>
  </conditionalFormatting>
  <conditionalFormatting sqref="E6:F6">
    <cfRule type="containsBlanks" dxfId="32" priority="27">
      <formula>LEN(TRIM(E6))=0</formula>
    </cfRule>
  </conditionalFormatting>
  <conditionalFormatting sqref="E8:F8">
    <cfRule type="containsBlanks" dxfId="31" priority="26">
      <formula>LEN(TRIM(E8))=0</formula>
    </cfRule>
  </conditionalFormatting>
  <conditionalFormatting sqref="E10:F10">
    <cfRule type="containsBlanks" dxfId="30" priority="25">
      <formula>LEN(TRIM(E10))=0</formula>
    </cfRule>
  </conditionalFormatting>
  <conditionalFormatting sqref="E12:F12">
    <cfRule type="containsBlanks" dxfId="29" priority="24">
      <formula>LEN(TRIM(E12))=0</formula>
    </cfRule>
  </conditionalFormatting>
  <conditionalFormatting sqref="E15:F15">
    <cfRule type="containsBlanks" dxfId="28" priority="23">
      <formula>LEN(TRIM(E15))=0</formula>
    </cfRule>
  </conditionalFormatting>
  <conditionalFormatting sqref="E18:F18">
    <cfRule type="containsBlanks" dxfId="27" priority="22">
      <formula>LEN(TRIM(E18))=0</formula>
    </cfRule>
  </conditionalFormatting>
  <conditionalFormatting sqref="E21:F21">
    <cfRule type="containsBlanks" dxfId="26" priority="21">
      <formula>LEN(TRIM(E21))=0</formula>
    </cfRule>
  </conditionalFormatting>
  <conditionalFormatting sqref="E24:F24">
    <cfRule type="containsBlanks" dxfId="25" priority="20">
      <formula>LEN(TRIM(E24))=0</formula>
    </cfRule>
  </conditionalFormatting>
  <conditionalFormatting sqref="E27:F27">
    <cfRule type="containsBlanks" dxfId="24" priority="19">
      <formula>LEN(TRIM(E27))=0</formula>
    </cfRule>
  </conditionalFormatting>
  <conditionalFormatting sqref="C33:W33">
    <cfRule type="containsBlanks" dxfId="23" priority="18">
      <formula>LEN(TRIM(C33))=0</formula>
    </cfRule>
  </conditionalFormatting>
  <conditionalFormatting sqref="C36:W36">
    <cfRule type="containsBlanks" dxfId="22" priority="17">
      <formula>LEN(TRIM(C36))=0</formula>
    </cfRule>
  </conditionalFormatting>
  <conditionalFormatting sqref="C39:W39">
    <cfRule type="containsBlanks" dxfId="21" priority="16">
      <formula>LEN(TRIM(C39))=0</formula>
    </cfRule>
  </conditionalFormatting>
  <conditionalFormatting sqref="C42:W42">
    <cfRule type="containsBlanks" dxfId="20" priority="15">
      <formula>LEN(TRIM(C42))=0</formula>
    </cfRule>
  </conditionalFormatting>
  <conditionalFormatting sqref="C45:W45">
    <cfRule type="containsBlanks" dxfId="19" priority="14">
      <formula>LEN(TRIM(C45))=0</formula>
    </cfRule>
  </conditionalFormatting>
  <conditionalFormatting sqref="C48:W48">
    <cfRule type="containsBlanks" dxfId="18" priority="13">
      <formula>LEN(TRIM(C48))=0</formula>
    </cfRule>
  </conditionalFormatting>
  <conditionalFormatting sqref="C51:W51">
    <cfRule type="containsBlanks" dxfId="17" priority="12">
      <formula>LEN(TRIM(C51))=0</formula>
    </cfRule>
  </conditionalFormatting>
  <conditionalFormatting sqref="C54:W54">
    <cfRule type="containsBlanks" dxfId="16" priority="11">
      <formula>LEN(TRIM(C54))=0</formula>
    </cfRule>
  </conditionalFormatting>
  <conditionalFormatting sqref="D58:X58">
    <cfRule type="containsBlanks" dxfId="15" priority="10">
      <formula>LEN(TRIM(D58))=0</formula>
    </cfRule>
  </conditionalFormatting>
  <conditionalFormatting sqref="D60:X60">
    <cfRule type="containsBlanks" dxfId="14" priority="9">
      <formula>LEN(TRIM(D60))=0</formula>
    </cfRule>
  </conditionalFormatting>
  <conditionalFormatting sqref="D62:X62">
    <cfRule type="containsBlanks" dxfId="13" priority="8">
      <formula>LEN(TRIM(D62))=0</formula>
    </cfRule>
  </conditionalFormatting>
  <conditionalFormatting sqref="D64:X64">
    <cfRule type="containsBlanks" dxfId="12" priority="7">
      <formula>LEN(TRIM(D64))=0</formula>
    </cfRule>
  </conditionalFormatting>
  <conditionalFormatting sqref="D66:X66">
    <cfRule type="containsBlanks" dxfId="11" priority="6">
      <formula>LEN(TRIM(D66))=0</formula>
    </cfRule>
  </conditionalFormatting>
  <conditionalFormatting sqref="E70:F70">
    <cfRule type="containsBlanks" dxfId="10" priority="5">
      <formula>LEN(TRIM(E70))=0</formula>
    </cfRule>
  </conditionalFormatting>
  <conditionalFormatting sqref="E73:F73">
    <cfRule type="containsBlanks" dxfId="9" priority="4">
      <formula>LEN(TRIM(E73))=0</formula>
    </cfRule>
  </conditionalFormatting>
  <conditionalFormatting sqref="E76:F76">
    <cfRule type="containsBlanks" dxfId="8" priority="3">
      <formula>LEN(TRIM(E76))=0</formula>
    </cfRule>
  </conditionalFormatting>
  <conditionalFormatting sqref="E79:F79">
    <cfRule type="containsBlanks" dxfId="7" priority="2">
      <formula>LEN(TRIM(E79))=0</formula>
    </cfRule>
  </conditionalFormatting>
  <conditionalFormatting sqref="E82:F82">
    <cfRule type="containsBlanks" dxfId="6" priority="1">
      <formula>LEN(TRIM(E82))=0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13" zoomScale="85" zoomScaleNormal="85" workbookViewId="0">
      <selection activeCell="C37" sqref="A1:XFD1048576"/>
    </sheetView>
  </sheetViews>
  <sheetFormatPr defaultRowHeight="13.5"/>
  <cols>
    <col min="1" max="1" width="2.625" style="39" customWidth="1"/>
    <col min="2" max="2" width="4.125" style="39" customWidth="1"/>
    <col min="3" max="3" width="71.625" style="39" customWidth="1"/>
    <col min="4" max="4" width="4.75" style="39" customWidth="1"/>
    <col min="5" max="5" width="41.75" style="39" customWidth="1"/>
    <col min="6" max="6" width="3.625" style="39" customWidth="1"/>
    <col min="7" max="16384" width="9" style="39"/>
  </cols>
  <sheetData>
    <row r="1" spans="1:32">
      <c r="A1" s="38"/>
      <c r="B1" s="38"/>
      <c r="C1" s="38" t="s">
        <v>89</v>
      </c>
      <c r="E1" s="38" t="s">
        <v>96</v>
      </c>
      <c r="F1" s="38"/>
      <c r="G1" s="38" t="s">
        <v>88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>
      <c r="A2" s="38"/>
      <c r="B2" s="40" t="s">
        <v>87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>
      <c r="A3" s="38"/>
      <c r="B3" s="39">
        <v>1</v>
      </c>
      <c r="C3" s="40">
        <f>'1'!E4</f>
        <v>0</v>
      </c>
      <c r="D3" s="38"/>
      <c r="E3" s="38">
        <v>1</v>
      </c>
      <c r="F3" s="38"/>
      <c r="G3" s="41">
        <f>IF(C3=E3,3,0)</f>
        <v>0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1:32">
      <c r="A4" s="38"/>
      <c r="B4" s="39">
        <v>2</v>
      </c>
      <c r="C4" s="40">
        <f>'1'!E6</f>
        <v>0</v>
      </c>
      <c r="D4" s="38"/>
      <c r="E4" s="38">
        <v>3</v>
      </c>
      <c r="F4" s="38"/>
      <c r="G4" s="41">
        <f t="shared" ref="G4:G7" si="0">IF(C4=E4,3,0)</f>
        <v>0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>
      <c r="A5" s="38"/>
      <c r="B5" s="39">
        <v>3</v>
      </c>
      <c r="C5" s="40">
        <f>'1'!E8</f>
        <v>0</v>
      </c>
      <c r="D5" s="38"/>
      <c r="E5" s="38">
        <v>4</v>
      </c>
      <c r="F5" s="38"/>
      <c r="G5" s="41">
        <f t="shared" si="0"/>
        <v>0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spans="1:32">
      <c r="A6" s="38"/>
      <c r="B6" s="39">
        <v>4</v>
      </c>
      <c r="C6" s="40">
        <f>'1'!E10</f>
        <v>0</v>
      </c>
      <c r="D6" s="38"/>
      <c r="E6" s="38">
        <v>2</v>
      </c>
      <c r="F6" s="38"/>
      <c r="G6" s="41">
        <f t="shared" si="0"/>
        <v>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spans="1:32">
      <c r="A7" s="38"/>
      <c r="B7" s="39">
        <v>5</v>
      </c>
      <c r="C7" s="40">
        <f>'1'!E12</f>
        <v>0</v>
      </c>
      <c r="D7" s="38"/>
      <c r="E7" s="38">
        <v>3</v>
      </c>
      <c r="F7" s="38"/>
      <c r="G7" s="41">
        <f t="shared" si="0"/>
        <v>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spans="1:32">
      <c r="A8" s="38"/>
      <c r="B8" s="40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>
      <c r="A9" s="38"/>
      <c r="B9" s="40" t="s">
        <v>86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spans="1:32">
      <c r="A10" s="38"/>
      <c r="B10" s="40">
        <v>1</v>
      </c>
      <c r="C10" s="38">
        <f>'1'!E15</f>
        <v>0</v>
      </c>
      <c r="D10" s="38"/>
      <c r="E10" s="38">
        <v>3</v>
      </c>
      <c r="F10" s="38"/>
      <c r="G10" s="41">
        <f>IF(C10=E10,3,0)</f>
        <v>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>
      <c r="A11" s="38"/>
      <c r="B11" s="40">
        <v>2</v>
      </c>
      <c r="C11" s="38">
        <f>'1'!E18</f>
        <v>0</v>
      </c>
      <c r="D11" s="38"/>
      <c r="E11" s="38">
        <v>4</v>
      </c>
      <c r="F11" s="38"/>
      <c r="G11" s="41">
        <f>IF(C11=E11,3,0)</f>
        <v>0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2">
      <c r="A12" s="38"/>
      <c r="B12" s="40">
        <v>3</v>
      </c>
      <c r="C12" s="38">
        <f>'1'!E21</f>
        <v>0</v>
      </c>
      <c r="D12" s="38"/>
      <c r="E12" s="38">
        <v>1</v>
      </c>
      <c r="F12" s="38"/>
      <c r="G12" s="41">
        <f>IF(C12=E12,3,0)</f>
        <v>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spans="1:32">
      <c r="A13" s="38"/>
      <c r="B13" s="40">
        <v>4</v>
      </c>
      <c r="C13" s="38">
        <f>'1'!E24</f>
        <v>0</v>
      </c>
      <c r="D13" s="38"/>
      <c r="E13" s="38">
        <v>2</v>
      </c>
      <c r="F13" s="38"/>
      <c r="G13" s="41">
        <f>IF(C13=E13,3,0)</f>
        <v>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spans="1:32">
      <c r="A14" s="38"/>
      <c r="B14" s="40">
        <v>5</v>
      </c>
      <c r="C14" s="38">
        <f>'1'!E27</f>
        <v>0</v>
      </c>
      <c r="D14" s="38"/>
      <c r="E14" s="38">
        <v>4</v>
      </c>
      <c r="F14" s="38"/>
      <c r="G14" s="41">
        <f>IF(C14=E14,3,0)</f>
        <v>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spans="1:32">
      <c r="A15" s="38"/>
      <c r="B15" s="40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spans="1:32">
      <c r="A16" s="38"/>
      <c r="B16" s="40" t="s">
        <v>85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spans="1:32">
      <c r="A17" s="38"/>
      <c r="B17" s="40">
        <v>1</v>
      </c>
      <c r="C17" s="38">
        <f>'1'!C33</f>
        <v>0</v>
      </c>
      <c r="D17" s="38"/>
      <c r="E17" s="38" t="s">
        <v>98</v>
      </c>
      <c r="F17" s="38"/>
      <c r="G17" s="41">
        <f t="shared" ref="G17:G24" si="1">IF(C17=E17,5,0)</f>
        <v>0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spans="1:32">
      <c r="A18" s="38"/>
      <c r="B18" s="40">
        <v>2</v>
      </c>
      <c r="C18" s="38">
        <f>'1'!C36</f>
        <v>0</v>
      </c>
      <c r="D18" s="38"/>
      <c r="E18" s="38" t="s">
        <v>99</v>
      </c>
      <c r="F18" s="38"/>
      <c r="G18" s="41">
        <f t="shared" si="1"/>
        <v>0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spans="1:32">
      <c r="A19" s="38"/>
      <c r="B19" s="40">
        <v>3</v>
      </c>
      <c r="C19" s="38">
        <f>'1'!C39</f>
        <v>0</v>
      </c>
      <c r="D19" s="38"/>
      <c r="E19" s="55" t="s">
        <v>100</v>
      </c>
      <c r="F19" s="38"/>
      <c r="G19" s="41">
        <f t="shared" si="1"/>
        <v>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>
      <c r="A20" s="38"/>
      <c r="B20" s="40">
        <v>4</v>
      </c>
      <c r="C20" s="38">
        <f>'1'!C42</f>
        <v>0</v>
      </c>
      <c r="D20" s="38"/>
      <c r="E20" s="38" t="s">
        <v>101</v>
      </c>
      <c r="F20" s="38"/>
      <c r="G20" s="41">
        <f t="shared" si="1"/>
        <v>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>
      <c r="A21" s="38"/>
      <c r="B21" s="40">
        <v>5</v>
      </c>
      <c r="C21" s="38">
        <f>'1'!C45</f>
        <v>0</v>
      </c>
      <c r="D21" s="38"/>
      <c r="E21" s="38" t="s">
        <v>102</v>
      </c>
      <c r="F21" s="38"/>
      <c r="G21" s="41">
        <f t="shared" si="1"/>
        <v>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>
      <c r="A22" s="38"/>
      <c r="B22" s="40">
        <v>6</v>
      </c>
      <c r="C22" s="38">
        <f>'1'!C48</f>
        <v>0</v>
      </c>
      <c r="D22" s="38"/>
      <c r="E22" s="38" t="s">
        <v>103</v>
      </c>
      <c r="F22" s="38"/>
      <c r="G22" s="41">
        <f t="shared" si="1"/>
        <v>0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spans="1:32">
      <c r="A23" s="38"/>
      <c r="B23" s="40">
        <v>7</v>
      </c>
      <c r="C23" s="38">
        <f>'1'!C51</f>
        <v>0</v>
      </c>
      <c r="D23" s="38"/>
      <c r="E23" s="38" t="s">
        <v>104</v>
      </c>
      <c r="F23" s="38"/>
      <c r="G23" s="41">
        <f t="shared" si="1"/>
        <v>0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spans="1:32">
      <c r="A24" s="38"/>
      <c r="B24" s="40">
        <v>8</v>
      </c>
      <c r="C24" s="38">
        <f>'1'!C54</f>
        <v>0</v>
      </c>
      <c r="D24" s="38"/>
      <c r="E24" s="38" t="s">
        <v>97</v>
      </c>
      <c r="F24" s="38"/>
      <c r="G24" s="41">
        <f t="shared" si="1"/>
        <v>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spans="1:32">
      <c r="A25" s="38"/>
      <c r="B25" s="40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spans="1:32">
      <c r="A26" s="38"/>
      <c r="B26" s="40" t="s">
        <v>84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spans="1:32">
      <c r="A27" s="38"/>
      <c r="B27" s="42">
        <v>1</v>
      </c>
      <c r="C27" s="38">
        <f>'1'!D58</f>
        <v>0</v>
      </c>
      <c r="D27" s="38"/>
      <c r="E27" s="38" t="s">
        <v>105</v>
      </c>
      <c r="F27" s="38"/>
      <c r="G27" s="41">
        <f>IF(C27=E27,3,0)</f>
        <v>0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>
      <c r="A28" s="38"/>
      <c r="B28" s="42">
        <v>2</v>
      </c>
      <c r="C28" s="38">
        <f>'1'!D60</f>
        <v>0</v>
      </c>
      <c r="D28" s="38"/>
      <c r="E28" s="55" t="s">
        <v>106</v>
      </c>
      <c r="F28" s="38"/>
      <c r="G28" s="41">
        <f t="shared" ref="G28:G31" si="2">IF(C28=E28,3,0)</f>
        <v>0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>
      <c r="A29" s="38"/>
      <c r="B29" s="42">
        <v>3</v>
      </c>
      <c r="C29" s="38">
        <f>'1'!D62</f>
        <v>0</v>
      </c>
      <c r="D29" s="38"/>
      <c r="E29" s="38" t="s">
        <v>107</v>
      </c>
      <c r="F29" s="38"/>
      <c r="G29" s="41">
        <f t="shared" si="2"/>
        <v>0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>
      <c r="A30" s="38"/>
      <c r="B30" s="42">
        <v>4</v>
      </c>
      <c r="C30" s="38">
        <f>'1'!D64</f>
        <v>0</v>
      </c>
      <c r="D30" s="38"/>
      <c r="E30" s="38" t="s">
        <v>109</v>
      </c>
      <c r="F30" s="38"/>
      <c r="G30" s="41">
        <f t="shared" si="2"/>
        <v>0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>
      <c r="A31" s="38"/>
      <c r="B31" s="42">
        <v>5</v>
      </c>
      <c r="C31" s="38">
        <f>'1'!D66</f>
        <v>0</v>
      </c>
      <c r="D31" s="38"/>
      <c r="E31" s="55" t="s">
        <v>108</v>
      </c>
      <c r="F31" s="38"/>
      <c r="G31" s="41">
        <f t="shared" si="2"/>
        <v>0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>
      <c r="A33" s="38"/>
      <c r="B33" s="40" t="s">
        <v>91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spans="1:32">
      <c r="A34" s="38"/>
      <c r="B34" s="42">
        <v>1</v>
      </c>
      <c r="C34" s="38">
        <f>'1'!E70</f>
        <v>0</v>
      </c>
      <c r="D34" s="38"/>
      <c r="E34" s="38">
        <v>4</v>
      </c>
      <c r="F34" s="38"/>
      <c r="G34" s="41">
        <f>IF(C34=E34,3,0)</f>
        <v>0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>
      <c r="A35" s="38"/>
      <c r="B35" s="42">
        <v>2</v>
      </c>
      <c r="C35" s="38">
        <f>'1'!E73</f>
        <v>0</v>
      </c>
      <c r="D35" s="38"/>
      <c r="E35" s="38">
        <v>3</v>
      </c>
      <c r="F35" s="38"/>
      <c r="G35" s="41">
        <f t="shared" ref="G35:G38" si="3">IF(C35=E35,3,0)</f>
        <v>0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>
      <c r="A36" s="38"/>
      <c r="B36" s="42">
        <v>3</v>
      </c>
      <c r="C36" s="38">
        <f>'1'!E76</f>
        <v>0</v>
      </c>
      <c r="D36" s="38"/>
      <c r="E36" s="38">
        <v>2</v>
      </c>
      <c r="F36" s="38"/>
      <c r="G36" s="41">
        <f t="shared" si="3"/>
        <v>0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>
      <c r="A37" s="38"/>
      <c r="B37" s="42">
        <v>4</v>
      </c>
      <c r="C37" s="38">
        <f>'1'!E79</f>
        <v>0</v>
      </c>
      <c r="D37" s="38"/>
      <c r="E37" s="38">
        <v>1</v>
      </c>
      <c r="G37" s="41">
        <f t="shared" si="3"/>
        <v>0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>
      <c r="A38" s="38"/>
      <c r="B38" s="42">
        <v>5</v>
      </c>
      <c r="C38" s="38">
        <f>'1'!E82</f>
        <v>0</v>
      </c>
      <c r="D38" s="38"/>
      <c r="E38" s="38">
        <v>1</v>
      </c>
      <c r="F38" s="38"/>
      <c r="G38" s="41">
        <f t="shared" si="3"/>
        <v>0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6" spans="1:32">
      <c r="E46" s="38" t="s">
        <v>83</v>
      </c>
      <c r="F46" s="38"/>
      <c r="G46" s="38">
        <f>SUM(G2:G45)</f>
        <v>0</v>
      </c>
    </row>
  </sheetData>
  <sheetProtection password="CF40" sheet="1" objects="1" scenarios="1" selectLockedCells="1" selectUnlockedCells="1"/>
  <phoneticPr fontId="14" type="noConversion"/>
  <conditionalFormatting sqref="G3:G7">
    <cfRule type="cellIs" dxfId="5" priority="5" operator="equal">
      <formula>0</formula>
    </cfRule>
  </conditionalFormatting>
  <conditionalFormatting sqref="G10:G14">
    <cfRule type="cellIs" dxfId="4" priority="4" operator="equal">
      <formula>0</formula>
    </cfRule>
  </conditionalFormatting>
  <conditionalFormatting sqref="G17:G24">
    <cfRule type="cellIs" dxfId="3" priority="3" operator="equal">
      <formula>0</formula>
    </cfRule>
  </conditionalFormatting>
  <conditionalFormatting sqref="G27:G31">
    <cfRule type="cellIs" dxfId="2" priority="2" operator="equal">
      <formula>0</formula>
    </cfRule>
  </conditionalFormatting>
  <conditionalFormatting sqref="G34:G38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J8" sqref="J8"/>
    </sheetView>
  </sheetViews>
  <sheetFormatPr defaultRowHeight="13.5"/>
  <cols>
    <col min="7" max="7" width="4.125" customWidth="1"/>
  </cols>
  <sheetData>
    <row r="1" spans="2:8">
      <c r="G1" s="32"/>
    </row>
    <row r="2" spans="2:8">
      <c r="B2" t="s">
        <v>92</v>
      </c>
      <c r="C2">
        <f>'1'!L1</f>
        <v>0</v>
      </c>
      <c r="H2" t="s">
        <v>95</v>
      </c>
    </row>
    <row r="3" spans="2:8">
      <c r="B3" t="s">
        <v>93</v>
      </c>
      <c r="C3">
        <f>'1'!N2</f>
        <v>0</v>
      </c>
      <c r="G3" s="34" t="s">
        <v>87</v>
      </c>
      <c r="H3" s="37">
        <v>0.15</v>
      </c>
    </row>
    <row r="4" spans="2:8">
      <c r="B4" t="s">
        <v>94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6" t="s">
        <v>90</v>
      </c>
      <c r="E6" s="35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34"/>
    </row>
    <row r="10" spans="2:8">
      <c r="G10" s="34" t="s">
        <v>86</v>
      </c>
      <c r="H10" s="37">
        <v>0.15</v>
      </c>
    </row>
    <row r="11" spans="2:8">
      <c r="G11" s="34">
        <v>1</v>
      </c>
      <c r="H11" t="str">
        <f>IF('2'!C10='2'!E10,"○","×")</f>
        <v>×</v>
      </c>
    </row>
    <row r="12" spans="2:8">
      <c r="G12" s="34">
        <v>2</v>
      </c>
      <c r="H12" t="str">
        <f>IF('2'!C11='2'!E11,"○","×")</f>
        <v>×</v>
      </c>
    </row>
    <row r="13" spans="2:8">
      <c r="G13" s="34">
        <v>3</v>
      </c>
      <c r="H13" t="str">
        <f>IF('2'!C12='2'!E12,"○","×")</f>
        <v>×</v>
      </c>
    </row>
    <row r="14" spans="2:8">
      <c r="G14" s="34">
        <v>4</v>
      </c>
      <c r="H14" t="str">
        <f>IF('2'!C13='2'!E13,"○","×")</f>
        <v>×</v>
      </c>
    </row>
    <row r="15" spans="2:8">
      <c r="G15" s="34">
        <v>5</v>
      </c>
      <c r="H15" t="str">
        <f>IF('2'!C14='2'!E14,"○","×")</f>
        <v>×</v>
      </c>
    </row>
    <row r="16" spans="2:8">
      <c r="G16" s="34"/>
    </row>
    <row r="17" spans="7:8">
      <c r="G17" s="34" t="s">
        <v>85</v>
      </c>
      <c r="H17" s="37">
        <v>0.4</v>
      </c>
    </row>
    <row r="18" spans="7:8">
      <c r="G18" s="34">
        <v>1</v>
      </c>
      <c r="H18" t="str">
        <f>IF('2'!C17='2'!E17,"○","×")</f>
        <v>×</v>
      </c>
    </row>
    <row r="19" spans="7:8">
      <c r="G19" s="34">
        <v>2</v>
      </c>
      <c r="H19" t="str">
        <f>IF('2'!C18='2'!E18,"○","×")</f>
        <v>×</v>
      </c>
    </row>
    <row r="20" spans="7:8">
      <c r="G20" s="34">
        <v>3</v>
      </c>
      <c r="H20" t="str">
        <f>IF('2'!C19='2'!E19,"○","×")</f>
        <v>×</v>
      </c>
    </row>
    <row r="21" spans="7:8">
      <c r="G21" s="34">
        <v>4</v>
      </c>
      <c r="H21" t="str">
        <f>IF('2'!C20='2'!E20,"○","×")</f>
        <v>×</v>
      </c>
    </row>
    <row r="22" spans="7:8">
      <c r="G22" s="34">
        <v>5</v>
      </c>
      <c r="H22" t="str">
        <f>IF('2'!C21='2'!E21,"○","×")</f>
        <v>×</v>
      </c>
    </row>
    <row r="23" spans="7:8">
      <c r="G23" s="34">
        <v>6</v>
      </c>
      <c r="H23" t="str">
        <f>IF('2'!C22='2'!E22,"○","×")</f>
        <v>×</v>
      </c>
    </row>
    <row r="24" spans="7:8">
      <c r="G24" s="34">
        <v>7</v>
      </c>
      <c r="H24" t="str">
        <f>IF('2'!C23='2'!E23,"○","×")</f>
        <v>×</v>
      </c>
    </row>
    <row r="25" spans="7:8">
      <c r="G25" s="34">
        <v>8</v>
      </c>
      <c r="H25" t="str">
        <f>IF('2'!C24='2'!E24,"○","×")</f>
        <v>×</v>
      </c>
    </row>
    <row r="26" spans="7:8">
      <c r="G26" s="34"/>
    </row>
    <row r="27" spans="7:8">
      <c r="G27" s="34" t="s">
        <v>84</v>
      </c>
      <c r="H27" s="37">
        <v>0.15</v>
      </c>
    </row>
    <row r="28" spans="7:8">
      <c r="G28" s="33">
        <v>1</v>
      </c>
      <c r="H28" t="str">
        <f>IF('2'!C27='2'!E27,"○","×")</f>
        <v>×</v>
      </c>
    </row>
    <row r="29" spans="7:8">
      <c r="G29" s="33">
        <v>2</v>
      </c>
      <c r="H29" t="str">
        <f>IF('2'!C28='2'!E28,"○","×")</f>
        <v>×</v>
      </c>
    </row>
    <row r="30" spans="7:8">
      <c r="G30" s="33">
        <v>3</v>
      </c>
      <c r="H30" t="str">
        <f>IF('2'!C29='2'!E29,"○","×")</f>
        <v>×</v>
      </c>
    </row>
    <row r="31" spans="7:8">
      <c r="G31" s="33">
        <v>4</v>
      </c>
      <c r="H31" t="str">
        <f>IF('2'!C30='2'!E30,"○","×")</f>
        <v>×</v>
      </c>
    </row>
    <row r="32" spans="7:8">
      <c r="G32" s="33">
        <v>5</v>
      </c>
      <c r="H32" t="str">
        <f>IF('2'!C31='2'!E31,"○","×")</f>
        <v>×</v>
      </c>
    </row>
    <row r="33" spans="7:8">
      <c r="G33" s="32"/>
    </row>
    <row r="34" spans="7:8">
      <c r="G34" s="34" t="s">
        <v>91</v>
      </c>
      <c r="H34" s="37">
        <v>0.15</v>
      </c>
    </row>
    <row r="35" spans="7:8">
      <c r="G35" s="33">
        <v>1</v>
      </c>
      <c r="H35" t="str">
        <f>IF('2'!C34='2'!E34,"○","×")</f>
        <v>×</v>
      </c>
    </row>
    <row r="36" spans="7:8">
      <c r="G36" s="33">
        <v>2</v>
      </c>
      <c r="H36" t="str">
        <f>IF('2'!C35='2'!E35,"○","×")</f>
        <v>×</v>
      </c>
    </row>
    <row r="37" spans="7:8">
      <c r="G37" s="33">
        <v>3</v>
      </c>
      <c r="H37" t="str">
        <f>IF('2'!C36='2'!E36,"○","×")</f>
        <v>×</v>
      </c>
    </row>
    <row r="38" spans="7:8">
      <c r="G38" s="33">
        <v>4</v>
      </c>
      <c r="H38" t="str">
        <f>IF('2'!C37='2'!E37,"○","×")</f>
        <v>×</v>
      </c>
    </row>
    <row r="39" spans="7:8">
      <c r="G39" s="33">
        <v>5</v>
      </c>
      <c r="H39" t="str">
        <f>IF('2'!C38='2'!E38,"○","×")</f>
        <v>×</v>
      </c>
    </row>
  </sheetData>
  <phoneticPr fontId="14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FCEC62-340B-4F84-ABEA-35BC32B79969}"/>
</file>

<file path=customXml/itemProps2.xml><?xml version="1.0" encoding="utf-8"?>
<ds:datastoreItem xmlns:ds="http://schemas.openxmlformats.org/officeDocument/2006/customXml" ds:itemID="{95D3B839-7536-4E53-9EA4-20EAFDD5480A}"/>
</file>

<file path=customXml/itemProps3.xml><?xml version="1.0" encoding="utf-8"?>
<ds:datastoreItem xmlns:ds="http://schemas.openxmlformats.org/officeDocument/2006/customXml" ds:itemID="{DE8EA997-C882-43ED-91D3-7FBC826BB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